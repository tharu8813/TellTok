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전국대회 강원 2025\채팅버전 - 복사본\"/>
    </mc:Choice>
  </mc:AlternateContent>
  <xr:revisionPtr revIDLastSave="0" documentId="13_ncr:1_{EAF71CF8-220A-4E82-8147-4955A0020C34}" xr6:coauthVersionLast="47" xr6:coauthVersionMax="47" xr10:uidLastSave="{00000000-0000-0000-0000-000000000000}"/>
  <bookViews>
    <workbookView xWindow="28680" yWindow="-120" windowWidth="29040" windowHeight="16440" tabRatio="874" activeTab="1" xr2:uid="{3EEF3AA4-1B4E-466F-AA25-86883A912BD1}"/>
  </bookViews>
  <sheets>
    <sheet name="형식" sheetId="6" r:id="rId1"/>
    <sheet name="전체" sheetId="1" r:id="rId2"/>
    <sheet name="공통조건" sheetId="2" r:id="rId3"/>
    <sheet name="로그인" sheetId="21" r:id="rId4"/>
    <sheet name="잠금모드" sheetId="4" r:id="rId5"/>
    <sheet name="메인" sheetId="8" r:id="rId6"/>
    <sheet name="친구" sheetId="10" r:id="rId7"/>
    <sheet name="친구추가" sheetId="12" r:id="rId8"/>
    <sheet name="프로필" sheetId="13" r:id="rId9"/>
    <sheet name="프로필 수정" sheetId="15" r:id="rId10"/>
    <sheet name="채팅" sheetId="17" r:id="rId11"/>
    <sheet name="채팅방" sheetId="19" r:id="rId12"/>
    <sheet name="Tell 뷰어" sheetId="20" r:id="rId13"/>
    <sheet name="메세지 수정" sheetId="23" r:id="rId14"/>
    <sheet name="더보기" sheetId="24" r:id="rId15"/>
    <sheet name="설정" sheetId="26" r:id="rId16"/>
    <sheet name="설정 보안" sheetId="27" r:id="rId17"/>
    <sheet name="잠금모드 암호 설정" sheetId="28" r:id="rId18"/>
    <sheet name="설정 채팅방" sheetId="29" r:id="rId19"/>
    <sheet name="알람" sheetId="30" r:id="rId20"/>
    <sheet name="이모티콘" sheetId="3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1" l="1"/>
  <c r="C33" i="31"/>
  <c r="D19" i="1"/>
  <c r="C20" i="1"/>
  <c r="C21" i="1" s="1"/>
  <c r="C34" i="21"/>
  <c r="C15" i="2"/>
  <c r="D10" i="1"/>
  <c r="D9" i="1"/>
  <c r="C33" i="21"/>
  <c r="C34" i="30"/>
  <c r="C33" i="30"/>
  <c r="C34" i="29"/>
  <c r="C33" i="29"/>
  <c r="C34" i="28"/>
  <c r="C33" i="28"/>
  <c r="C34" i="27"/>
  <c r="C33" i="27"/>
  <c r="C34" i="26"/>
  <c r="C33" i="26"/>
  <c r="C34" i="24"/>
  <c r="C33" i="24"/>
  <c r="C34" i="23"/>
  <c r="C33" i="23"/>
  <c r="C33" i="19"/>
  <c r="C33" i="17"/>
  <c r="C33" i="12"/>
  <c r="C33" i="10"/>
  <c r="C33" i="8"/>
  <c r="C33" i="4"/>
  <c r="C34" i="20"/>
  <c r="C33" i="20"/>
  <c r="C16" i="2"/>
  <c r="C34" i="19"/>
  <c r="C34" i="17"/>
  <c r="C34" i="15"/>
  <c r="C33" i="15"/>
  <c r="C34" i="13"/>
  <c r="C33" i="13"/>
  <c r="C34" i="12"/>
  <c r="C34" i="10"/>
  <c r="C34" i="8"/>
  <c r="C34" i="6"/>
  <c r="C35" i="6" s="1"/>
  <c r="C33" i="6"/>
  <c r="C34" i="4"/>
  <c r="D2" i="1"/>
  <c r="D3" i="1"/>
  <c r="D4" i="1"/>
  <c r="D5" i="1"/>
  <c r="D6" i="1"/>
  <c r="D7" i="1"/>
  <c r="D8" i="1"/>
  <c r="D11" i="1"/>
  <c r="D12" i="1"/>
  <c r="D13" i="1"/>
  <c r="D14" i="1"/>
  <c r="D15" i="1"/>
  <c r="D16" i="1"/>
  <c r="D17" i="1"/>
  <c r="D18" i="1"/>
  <c r="C35" i="31" l="1"/>
  <c r="C35" i="30"/>
  <c r="C35" i="29"/>
  <c r="C35" i="28"/>
  <c r="C35" i="27"/>
  <c r="C35" i="26"/>
  <c r="C35" i="24"/>
  <c r="C35" i="23"/>
  <c r="C35" i="21"/>
  <c r="C35" i="20"/>
  <c r="C35" i="4"/>
  <c r="C35" i="19"/>
  <c r="C35" i="17"/>
  <c r="C35" i="15"/>
  <c r="C35" i="13"/>
  <c r="C35" i="12"/>
  <c r="C35" i="10"/>
  <c r="C35" i="8"/>
</calcChain>
</file>

<file path=xl/sharedStrings.xml><?xml version="1.0" encoding="utf-8"?>
<sst xmlns="http://schemas.openxmlformats.org/spreadsheetml/2006/main" count="316" uniqueCount="164">
  <si>
    <t>폼 이름</t>
  </si>
  <si>
    <t>주요 기능</t>
  </si>
  <si>
    <t>로그인</t>
  </si>
  <si>
    <t>시작, 애니메이션, 자동 로그인</t>
  </si>
  <si>
    <t>잠금모드</t>
  </si>
  <si>
    <t>보안 처리, 암호 입력</t>
  </si>
  <si>
    <t>메인</t>
  </si>
  <si>
    <t>전체 UI의 중심</t>
  </si>
  <si>
    <t>친구</t>
  </si>
  <si>
    <t>친구 목록 표시 및 진입</t>
  </si>
  <si>
    <t>친구추가</t>
  </si>
  <si>
    <t>클립보드 처리, 요청 처리</t>
  </si>
  <si>
    <t>프로필</t>
  </si>
  <si>
    <t>좋아요, 1:1 채팅 등</t>
  </si>
  <si>
    <t>프로필수정</t>
  </si>
  <si>
    <t>유효성 검증</t>
  </si>
  <si>
    <t>채팅</t>
  </si>
  <si>
    <t>미리보기 목록 등</t>
  </si>
  <si>
    <t>채팅방</t>
  </si>
  <si>
    <t>채팅, 파일, 이모티콘 등 핵심</t>
  </si>
  <si>
    <t>메세지수정</t>
  </si>
  <si>
    <t>편집, 유효성</t>
  </si>
  <si>
    <t>알람</t>
  </si>
  <si>
    <t>친구요청 수락/거절</t>
  </si>
  <si>
    <t>더보기</t>
  </si>
  <si>
    <t>설정 접근, 종료 처리</t>
  </si>
  <si>
    <t>설정</t>
  </si>
  <si>
    <t>서브 설정 진입</t>
  </si>
  <si>
    <t>자동로그인, 잠금모드 설정</t>
  </si>
  <si>
    <t>숫자 유효성, 일치 확인</t>
  </si>
  <si>
    <t>설정채팅방</t>
  </si>
  <si>
    <t>색상/투명도 설정</t>
  </si>
  <si>
    <t>Tell 뷰어</t>
  </si>
  <si>
    <t>파일 미디어 처리 다양</t>
  </si>
  <si>
    <t>합계</t>
  </si>
  <si>
    <t>남은 점수</t>
    <phoneticPr fontId="2" type="noConversion"/>
  </si>
  <si>
    <t>점수 순위</t>
    <phoneticPr fontId="2" type="noConversion"/>
  </si>
  <si>
    <t>기재된 색상 사용</t>
  </si>
  <si>
    <t>시스템 트레이</t>
  </si>
  <si>
    <t>특정 조건에 따른 시스템 트레이 버튼 활성화 비활성화 여부</t>
  </si>
  <si>
    <t>백그라운드 실행 풍선</t>
  </si>
  <si>
    <t>모든 로그아웃 처리</t>
  </si>
  <si>
    <t>특정 폼을 기준으로 폼 실행 위치</t>
  </si>
  <si>
    <t>특정 TextBox</t>
  </si>
  <si>
    <t>기존 컨트롤을 제외한 클릭 가능한 항목에 커서 “Hand” 적용</t>
  </si>
  <si>
    <t>특정 항목 프로그램 종료후에도 유지</t>
  </si>
  <si>
    <t>오류/정보/질문 메시지창 스타일 (각각 0.1점)</t>
    <phoneticPr fontId="2" type="noConversion"/>
  </si>
  <si>
    <t>시스템 트레이 버튼 클릭 (각 0.1점)</t>
    <phoneticPr fontId="2" type="noConversion"/>
  </si>
  <si>
    <t>총합</t>
    <phoneticPr fontId="2" type="noConversion"/>
  </si>
  <si>
    <t>최종 점수</t>
    <phoneticPr fontId="2" type="noConversion"/>
  </si>
  <si>
    <t>번호</t>
    <phoneticPr fontId="2" type="noConversion"/>
  </si>
  <si>
    <t>세부정보</t>
    <phoneticPr fontId="2" type="noConversion"/>
  </si>
  <si>
    <t>점수</t>
    <phoneticPr fontId="2" type="noConversion"/>
  </si>
  <si>
    <t>최대 점수</t>
    <phoneticPr fontId="2" type="noConversion"/>
  </si>
  <si>
    <t>프로그램 실행시 표시</t>
    <phoneticPr fontId="2" type="noConversion"/>
  </si>
  <si>
    <t>자동 로그인 컨트롤</t>
    <phoneticPr fontId="2" type="noConversion"/>
  </si>
  <si>
    <t>로그인 시작시 버튼에 애니메이션 표시</t>
    <phoneticPr fontId="2" type="noConversion"/>
  </si>
  <si>
    <t>로그인 성공시 폼 종료 및 [메인] 폼 시작</t>
    <phoneticPr fontId="2" type="noConversion"/>
  </si>
  <si>
    <t>자동 로그인 활성화시 [메인] 폼이 아닌 [잠금모드] 폼 실행</t>
    <phoneticPr fontId="2" type="noConversion"/>
  </si>
  <si>
    <t>일치하지 않을 경우 오류</t>
    <phoneticPr fontId="2" type="noConversion"/>
  </si>
  <si>
    <t>로그인 버튼 클릭시 로그인 시도</t>
    <phoneticPr fontId="2" type="noConversion"/>
  </si>
  <si>
    <t>자동 로그인 활성화 상태에서 프로그램 실행시</t>
    <phoneticPr fontId="2" type="noConversion"/>
  </si>
  <si>
    <t>[로그인] 폼과 같은 프레임 실행</t>
    <phoneticPr fontId="2" type="noConversion"/>
  </si>
  <si>
    <t xml:space="preserve">MaskedTextBox을 통해 숫자로만 암호 입력 </t>
    <phoneticPr fontId="2" type="noConversion"/>
  </si>
  <si>
    <t>암호 입력시 "●" 기호로 표시</t>
    <phoneticPr fontId="2" type="noConversion"/>
  </si>
  <si>
    <t>임호 일치시 [잠금모드] 폼 종료 및 [메인] 폼 이동</t>
    <phoneticPr fontId="2" type="noConversion"/>
  </si>
  <si>
    <t>하단에 텍스트 클릭시 질문메세지 및 잠금모드 초기화</t>
    <phoneticPr fontId="2" type="noConversion"/>
  </si>
  <si>
    <t>설정 보안</t>
    <phoneticPr fontId="2" type="noConversion"/>
  </si>
  <si>
    <t>잠금모드 암호설정</t>
    <phoneticPr fontId="2" type="noConversion"/>
  </si>
  <si>
    <t>자신에게 알람이 있을경우 풍선 표시</t>
    <phoneticPr fontId="2" type="noConversion"/>
  </si>
  <si>
    <t>하단에 광고 표시 및 변경</t>
    <phoneticPr fontId="2" type="noConversion"/>
  </si>
  <si>
    <t>알람, 설정 아이콘 클릭 및 오버 (클릭, 오버 각 버튼당 0.1점)</t>
    <phoneticPr fontId="2" type="noConversion"/>
  </si>
  <si>
    <t>친구, 채팅, 더보기 아이콘 클릭 (각 0.1점)</t>
    <phoneticPr fontId="2" type="noConversion"/>
  </si>
  <si>
    <t>친구, 채팅, 더보기 아이콘 오버 (각 0.1점)</t>
    <phoneticPr fontId="2" type="noConversion"/>
  </si>
  <si>
    <t>[메인] 폼에 표시</t>
    <phoneticPr fontId="2" type="noConversion"/>
  </si>
  <si>
    <t>자신의 친구 모두 표시</t>
    <phoneticPr fontId="2" type="noConversion"/>
  </si>
  <si>
    <t>리스트에 마우스 오버</t>
    <phoneticPr fontId="2" type="noConversion"/>
  </si>
  <si>
    <t>리스트 클릭</t>
    <phoneticPr fontId="2" type="noConversion"/>
  </si>
  <si>
    <t>리스트 프로필 클릭</t>
    <phoneticPr fontId="2" type="noConversion"/>
  </si>
  <si>
    <t>친구추가 버튼 클릭</t>
    <phoneticPr fontId="2" type="noConversion"/>
  </si>
  <si>
    <t>폼 실행시 클립보드</t>
    <phoneticPr fontId="2" type="noConversion"/>
  </si>
  <si>
    <t xml:space="preserve">MaskedTextBox을 통해 숫자로만 친구추가ID 입력 </t>
    <phoneticPr fontId="2" type="noConversion"/>
  </si>
  <si>
    <t>자신 친구추가ID 복사</t>
    <phoneticPr fontId="2" type="noConversion"/>
  </si>
  <si>
    <t>입력란에 8자 입력후 표시</t>
    <phoneticPr fontId="2" type="noConversion"/>
  </si>
  <si>
    <t>포커스 해제시 종료</t>
    <phoneticPr fontId="2" type="noConversion"/>
  </si>
  <si>
    <t>이전폼에서 선택한 유저 표시</t>
    <phoneticPr fontId="2" type="noConversion"/>
  </si>
  <si>
    <t>자신과 다른 유저와 다르게 표시</t>
    <phoneticPr fontId="2" type="noConversion"/>
  </si>
  <si>
    <t>하트 클릭시</t>
    <phoneticPr fontId="2" type="noConversion"/>
  </si>
  <si>
    <t>프로필 수정 클릭</t>
    <phoneticPr fontId="2" type="noConversion"/>
  </si>
  <si>
    <t>자신이 하트 클릭</t>
    <phoneticPr fontId="2" type="noConversion"/>
  </si>
  <si>
    <t>1:1 채팅 클릭</t>
    <phoneticPr fontId="2" type="noConversion"/>
  </si>
  <si>
    <t>폼 실행시 자신의 정보 입력</t>
    <phoneticPr fontId="2" type="noConversion"/>
  </si>
  <si>
    <t>글자 제한</t>
    <phoneticPr fontId="2" type="noConversion"/>
  </si>
  <si>
    <t>TextBox 입력시 조건에 따른 버튼 (비)활성화</t>
    <phoneticPr fontId="2" type="noConversion"/>
  </si>
  <si>
    <t>닫기 버튼 클릭</t>
    <phoneticPr fontId="2" type="noConversion"/>
  </si>
  <si>
    <t>수정 버튼 클릭</t>
    <phoneticPr fontId="2" type="noConversion"/>
  </si>
  <si>
    <t>자신과 채팅한 모든 유저의 채팅방 표시</t>
    <phoneticPr fontId="2" type="noConversion"/>
  </si>
  <si>
    <t>리스트 정렬</t>
    <phoneticPr fontId="2" type="noConversion"/>
  </si>
  <si>
    <t>리스트에 가장 최근데 나눈 대회 내용 표시 (일반 메시지)</t>
    <phoneticPr fontId="2" type="noConversion"/>
  </si>
  <si>
    <t>리스트에 가장 최근데 나눈 대회 내용 표시 (이모티콘 메시지)</t>
    <phoneticPr fontId="2" type="noConversion"/>
  </si>
  <si>
    <t>리스트에 가장 최근데 나눈 대회 내용 표시 (파일 메시지)</t>
    <phoneticPr fontId="2" type="noConversion"/>
  </si>
  <si>
    <t>리스트에 가장 최근데 나눈 대회 내용 표시 (삭제된 메시지)</t>
    <phoneticPr fontId="2" type="noConversion"/>
  </si>
  <si>
    <t>이전폼에서 선택한 채팅방 표시</t>
    <phoneticPr fontId="2" type="noConversion"/>
  </si>
  <si>
    <t>이미 채팅중인 채팅방 표시 아니면 새로운 채팅방 표시</t>
    <phoneticPr fontId="2" type="noConversion"/>
  </si>
  <si>
    <t>이미 실행중이면 실행하지 않고 실행중인 창에 포커크</t>
    <phoneticPr fontId="2" type="noConversion"/>
  </si>
  <si>
    <t>폼 시작시 맨 아래로 스크롤</t>
    <phoneticPr fontId="2" type="noConversion"/>
  </si>
  <si>
    <t>(B영역) 배경색 실시간 적용</t>
    <phoneticPr fontId="2" type="noConversion"/>
  </si>
  <si>
    <t>(B영역) 배경색에 따른 일부 텍스트 색상 변경</t>
    <phoneticPr fontId="2" type="noConversion"/>
  </si>
  <si>
    <t>(B영역) 날짜 경계선 추가</t>
    <phoneticPr fontId="2" type="noConversion"/>
  </si>
  <si>
    <t>(B영역) 전송 시간 표시</t>
    <phoneticPr fontId="2" type="noConversion"/>
  </si>
  <si>
    <t>(C영역) 슬라이더 컨트롤로 투명도 조절</t>
    <phoneticPr fontId="2" type="noConversion"/>
  </si>
  <si>
    <t>(C영역) 파일 버튼 클릭시 파일 선택창 표시</t>
    <phoneticPr fontId="2" type="noConversion"/>
  </si>
  <si>
    <t>(C영역) 파일 선택 후 메시지와 함께 파일 전송</t>
    <phoneticPr fontId="2" type="noConversion"/>
  </si>
  <si>
    <t>(C영역) 드레그 엔 드롭 시에도 메시지와 함께 파일 전송</t>
    <phoneticPr fontId="2" type="noConversion"/>
  </si>
  <si>
    <t>(C영역) 전송할 수 없는 요소 드레그 엔 드롭</t>
    <phoneticPr fontId="2" type="noConversion"/>
  </si>
  <si>
    <t>(C영역) 이모티콘 클릭</t>
    <phoneticPr fontId="2" type="noConversion"/>
  </si>
  <si>
    <t>(C영역) 전송 버튼 클릭</t>
    <phoneticPr fontId="2" type="noConversion"/>
  </si>
  <si>
    <t>(C영역) 전송 단축키 및 줄바꿈</t>
    <phoneticPr fontId="2" type="noConversion"/>
  </si>
  <si>
    <t>(D영역) 파일 정보 표시</t>
    <phoneticPr fontId="2" type="noConversion"/>
  </si>
  <si>
    <t>(D영역) 열기 버튼 활성화</t>
    <phoneticPr fontId="2" type="noConversion"/>
  </si>
  <si>
    <t>(D영역) 열기 버튼 클릭</t>
    <phoneticPr fontId="2" type="noConversion"/>
  </si>
  <si>
    <t>(D영역) 다운로그 클릭시 폴더 선택 창</t>
    <phoneticPr fontId="2" type="noConversion"/>
  </si>
  <si>
    <t>(D영역) 폴더 선택후 완료 클릭시 해당 폴더로 다운로드(복사)</t>
    <phoneticPr fontId="2" type="noConversion"/>
  </si>
  <si>
    <t>(D영역) 폴더 이름 중복시 덮어쓰기 여부 메시지</t>
    <phoneticPr fontId="2" type="noConversion"/>
  </si>
  <si>
    <t>(E영역) 메시지 줄바꿈</t>
    <phoneticPr fontId="2" type="noConversion"/>
  </si>
  <si>
    <t>(E영역) 우클릭시 메뉴 표시</t>
    <phoneticPr fontId="2" type="noConversion"/>
  </si>
  <si>
    <t>(E영역) 메뉴 버튼 클릭 (각 0.1점)</t>
    <phoneticPr fontId="2" type="noConversion"/>
  </si>
  <si>
    <t>메시지 전송,수정,삭제등 작업시 [메인] 폼 리스트 갱신</t>
    <phoneticPr fontId="2" type="noConversion"/>
  </si>
  <si>
    <t>창 크기 조절 가능</t>
    <phoneticPr fontId="2" type="noConversion"/>
  </si>
  <si>
    <t>이전폼에서 선택한 파일 열기 (각0.2점)</t>
    <phoneticPr fontId="2" type="noConversion"/>
  </si>
  <si>
    <t>디자인</t>
    <phoneticPr fontId="2" type="noConversion"/>
  </si>
  <si>
    <t>리스트 항목에 클릭시 (각 0.1점)</t>
    <phoneticPr fontId="2" type="noConversion"/>
  </si>
  <si>
    <t>다자인</t>
    <phoneticPr fontId="2" type="noConversion"/>
  </si>
  <si>
    <t>디자인</t>
    <phoneticPr fontId="2" type="noConversion"/>
  </si>
  <si>
    <t>이전폼에서 선택한 메시지 표시</t>
    <phoneticPr fontId="2" type="noConversion"/>
  </si>
  <si>
    <t>수정하기 버튼 클릭</t>
    <phoneticPr fontId="2" type="noConversion"/>
  </si>
  <si>
    <t>버튼 클릭 (각0.1점)</t>
    <phoneticPr fontId="2" type="noConversion"/>
  </si>
  <si>
    <t>B영역 버튼 (각0.1점)</t>
    <phoneticPr fontId="2" type="noConversion"/>
  </si>
  <si>
    <t>설정 보안</t>
  </si>
  <si>
    <t>자동 로그인 해제시</t>
    <phoneticPr fontId="2" type="noConversion"/>
  </si>
  <si>
    <t>잠금모드 사용 체크시</t>
    <phoneticPr fontId="2" type="noConversion"/>
  </si>
  <si>
    <t>자동 로그인 체크시</t>
    <phoneticPr fontId="2" type="noConversion"/>
  </si>
  <si>
    <t>잠금모드 사용 해제시</t>
    <phoneticPr fontId="2" type="noConversion"/>
  </si>
  <si>
    <t>잠금모드 암호설정</t>
  </si>
  <si>
    <t>4글자 입력시 버튼 (비)활성화</t>
    <phoneticPr fontId="2" type="noConversion"/>
  </si>
  <si>
    <t>확인 버튼 클릭시 두 값 일치</t>
    <phoneticPr fontId="2" type="noConversion"/>
  </si>
  <si>
    <t>확인버튼 클릭시 두 값 불일치</t>
    <phoneticPr fontId="2" type="noConversion"/>
  </si>
  <si>
    <t>채팅방 스타일 변경 클릭시</t>
    <phoneticPr fontId="2" type="noConversion"/>
  </si>
  <si>
    <t>색상 선택후 확인</t>
    <phoneticPr fontId="2" type="noConversion"/>
  </si>
  <si>
    <t>기본값 클릭</t>
    <phoneticPr fontId="2" type="noConversion"/>
  </si>
  <si>
    <t>채팅방 투명도 조절</t>
    <phoneticPr fontId="2" type="noConversion"/>
  </si>
  <si>
    <t>자신에게 온 모든 알람 표시</t>
    <phoneticPr fontId="2" type="noConversion"/>
  </si>
  <si>
    <t>✔ 클릭</t>
    <phoneticPr fontId="2" type="noConversion"/>
  </si>
  <si>
    <t>✖ 클릭</t>
    <phoneticPr fontId="2" type="noConversion"/>
  </si>
  <si>
    <t>모든 폼에 커스텀 폰트 적용</t>
  </si>
  <si>
    <t>특정 폼을 제외하고 프로필 이미지 클릭 시 [프로필] 폼으로 이동</t>
  </si>
  <si>
    <t>(B영역) 각 파일, 이모티콘, 일반, 삭제 메시지 표시 (각 0.1점)</t>
    <phoneticPr fontId="2" type="noConversion"/>
  </si>
  <si>
    <t>이모티콘</t>
  </si>
  <si>
    <t>이모티콘</t>
    <phoneticPr fontId="2" type="noConversion"/>
  </si>
  <si>
    <t>이모티콘 전송을 위한 폼</t>
    <phoneticPr fontId="2" type="noConversion"/>
  </si>
  <si>
    <t>중복 폼 실행</t>
    <phoneticPr fontId="2" type="noConversion"/>
  </si>
  <si>
    <t>오른쪽 이미지 표시</t>
    <phoneticPr fontId="2" type="noConversion"/>
  </si>
  <si>
    <t>A영역 버튼 클릭</t>
    <phoneticPr fontId="2" type="noConversion"/>
  </si>
  <si>
    <t>B영역 버튼 클릭시 이모티콘과 메시지 전송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</si>
</sst>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점&quot;"/>
    <numFmt numFmtId="177" formatCode="0&quot;위&quot;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1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9" xfId="0" applyBorder="1">
      <alignment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76" fontId="0" fillId="0" borderId="11" xfId="0" applyNumberFormat="1" applyBorder="1">
      <alignment vertical="center"/>
    </xf>
    <xf numFmtId="176" fontId="1" fillId="0" borderId="11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righ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6" fontId="3" fillId="0" borderId="2" xfId="0" applyNumberFormat="1" applyFont="1" applyFill="1" applyBorder="1" applyAlignment="1">
      <alignment horizontal="right" vertical="center" wrapText="1"/>
    </xf>
    <xf numFmtId="176" fontId="0" fillId="0" borderId="2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0" xfId="0" applyNumberFormat="1">
      <alignment vertical="center"/>
    </xf>
    <xf numFmtId="176" fontId="4" fillId="0" borderId="2" xfId="0" applyNumberFormat="1" applyFont="1" applyBorder="1">
      <alignment vertical="center"/>
    </xf>
    <xf numFmtId="176" fontId="4" fillId="0" borderId="2" xfId="0" applyNumberFormat="1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0" xfId="0" applyFont="1" applyAlignment="1">
      <alignment horizontal="left" vertical="center"/>
    </xf>
    <xf numFmtId="177" fontId="4" fillId="0" borderId="2" xfId="0" applyNumberFormat="1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C61D-36B6-47E7-A9A5-B5BE59B15F66}">
  <dimension ref="A1:C35"/>
  <sheetViews>
    <sheetView workbookViewId="0">
      <selection activeCell="B1" sqref="B1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/>
    </row>
    <row r="4" spans="1:3" x14ac:dyDescent="0.3">
      <c r="A4" s="16">
        <v>2</v>
      </c>
      <c r="B4" s="25"/>
      <c r="C4" s="35"/>
    </row>
    <row r="5" spans="1:3" x14ac:dyDescent="0.3">
      <c r="A5" s="16">
        <v>3</v>
      </c>
      <c r="B5" s="17"/>
      <c r="C5" s="35"/>
    </row>
    <row r="6" spans="1:3" x14ac:dyDescent="0.3">
      <c r="A6" s="16">
        <v>4</v>
      </c>
      <c r="B6" s="17"/>
      <c r="C6" s="35"/>
    </row>
    <row r="7" spans="1:3" x14ac:dyDescent="0.3">
      <c r="A7" s="16">
        <v>5</v>
      </c>
      <c r="B7" s="17"/>
      <c r="C7" s="36"/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1.2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8042CA-F648-4644-BD8B-B30958AEE17A}">
          <x14:formula1>
            <xm:f>전체!$A$2:$A$19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271E-B9B6-442F-93AC-1E8B22C39044}">
  <dimension ref="A1:D21"/>
  <sheetViews>
    <sheetView tabSelected="1" zoomScaleNormal="100" workbookViewId="0">
      <selection activeCell="C15" sqref="C15:C19"/>
    </sheetView>
  </sheetViews>
  <sheetFormatPr defaultRowHeight="16.5" x14ac:dyDescent="0.3"/>
  <cols>
    <col min="1" max="1" width="17.875" bestFit="1" customWidth="1"/>
    <col min="2" max="2" width="28.375" bestFit="1" customWidth="1"/>
    <col min="3" max="3" width="9.875" bestFit="1" customWidth="1"/>
    <col min="4" max="4" width="9.625" customWidth="1"/>
  </cols>
  <sheetData>
    <row r="1" spans="1:4" ht="17.25" thickBot="1" x14ac:dyDescent="0.35">
      <c r="A1" s="9" t="s">
        <v>0</v>
      </c>
      <c r="B1" s="10" t="s">
        <v>1</v>
      </c>
      <c r="C1" s="10" t="s">
        <v>49</v>
      </c>
      <c r="D1" s="11" t="s">
        <v>36</v>
      </c>
    </row>
    <row r="2" spans="1:4" x14ac:dyDescent="0.3">
      <c r="A2" s="12" t="s">
        <v>2</v>
      </c>
      <c r="B2" s="13" t="s">
        <v>3</v>
      </c>
      <c r="C2" s="13">
        <v>1.2</v>
      </c>
      <c r="D2" s="48">
        <f>_xlfn.RANK.EQ(C2, $C$2:$C$18, 0)</f>
        <v>3</v>
      </c>
    </row>
    <row r="3" spans="1:4" x14ac:dyDescent="0.3">
      <c r="A3" s="12" t="s">
        <v>4</v>
      </c>
      <c r="B3" s="13" t="s">
        <v>5</v>
      </c>
      <c r="C3" s="13">
        <v>1.1000000000000001</v>
      </c>
      <c r="D3" s="48">
        <f>_xlfn.RANK.EQ(C3, $C$2:$C$18, 0)</f>
        <v>8</v>
      </c>
    </row>
    <row r="4" spans="1:4" x14ac:dyDescent="0.3">
      <c r="A4" s="12" t="s">
        <v>6</v>
      </c>
      <c r="B4" s="13" t="s">
        <v>7</v>
      </c>
      <c r="C4" s="13">
        <v>1.4</v>
      </c>
      <c r="D4" s="48">
        <f t="shared" ref="D4:D18" si="0">_xlfn.RANK.EQ(C4, $C$2:$C$18, 0)</f>
        <v>2</v>
      </c>
    </row>
    <row r="5" spans="1:4" x14ac:dyDescent="0.3">
      <c r="A5" s="12" t="s">
        <v>8</v>
      </c>
      <c r="B5" s="13" t="s">
        <v>9</v>
      </c>
      <c r="C5" s="13">
        <v>1</v>
      </c>
      <c r="D5" s="48">
        <f t="shared" si="0"/>
        <v>9</v>
      </c>
    </row>
    <row r="6" spans="1:4" x14ac:dyDescent="0.3">
      <c r="A6" s="12" t="s">
        <v>10</v>
      </c>
      <c r="B6" s="13" t="s">
        <v>11</v>
      </c>
      <c r="C6" s="13">
        <v>1.2</v>
      </c>
      <c r="D6" s="48">
        <f t="shared" si="0"/>
        <v>3</v>
      </c>
    </row>
    <row r="7" spans="1:4" x14ac:dyDescent="0.3">
      <c r="A7" s="12" t="s">
        <v>12</v>
      </c>
      <c r="B7" s="13" t="s">
        <v>13</v>
      </c>
      <c r="C7" s="13">
        <v>1.2</v>
      </c>
      <c r="D7" s="48">
        <f t="shared" si="0"/>
        <v>3</v>
      </c>
    </row>
    <row r="8" spans="1:4" x14ac:dyDescent="0.3">
      <c r="A8" s="12" t="s">
        <v>14</v>
      </c>
      <c r="B8" s="13" t="s">
        <v>15</v>
      </c>
      <c r="C8" s="13">
        <v>0.8</v>
      </c>
      <c r="D8" s="48">
        <f t="shared" si="0"/>
        <v>13</v>
      </c>
    </row>
    <row r="9" spans="1:4" x14ac:dyDescent="0.3">
      <c r="A9" s="12" t="s">
        <v>16</v>
      </c>
      <c r="B9" s="13" t="s">
        <v>17</v>
      </c>
      <c r="C9" s="13">
        <v>1.2</v>
      </c>
      <c r="D9" s="48">
        <f>_xlfn.RANK.EQ(C9, $C$2:$C$18, 0)</f>
        <v>3</v>
      </c>
    </row>
    <row r="10" spans="1:4" x14ac:dyDescent="0.3">
      <c r="A10" s="12" t="s">
        <v>18</v>
      </c>
      <c r="B10" s="13" t="s">
        <v>19</v>
      </c>
      <c r="C10" s="13">
        <v>5.5</v>
      </c>
      <c r="D10" s="48">
        <f>_xlfn.RANK.EQ(C10, $C$2:$C$18, 0)</f>
        <v>1</v>
      </c>
    </row>
    <row r="11" spans="1:4" x14ac:dyDescent="0.3">
      <c r="A11" s="12" t="s">
        <v>20</v>
      </c>
      <c r="B11" s="13" t="s">
        <v>21</v>
      </c>
      <c r="C11" s="13">
        <v>0.5</v>
      </c>
      <c r="D11" s="48">
        <f t="shared" si="0"/>
        <v>17</v>
      </c>
    </row>
    <row r="12" spans="1:4" x14ac:dyDescent="0.3">
      <c r="A12" s="12" t="s">
        <v>22</v>
      </c>
      <c r="B12" s="13" t="s">
        <v>23</v>
      </c>
      <c r="C12" s="13">
        <v>0.6</v>
      </c>
      <c r="D12" s="48">
        <f t="shared" si="0"/>
        <v>15</v>
      </c>
    </row>
    <row r="13" spans="1:4" x14ac:dyDescent="0.3">
      <c r="A13" s="12" t="s">
        <v>24</v>
      </c>
      <c r="B13" s="13" t="s">
        <v>25</v>
      </c>
      <c r="C13" s="13">
        <v>0.7</v>
      </c>
      <c r="D13" s="48">
        <f t="shared" si="0"/>
        <v>14</v>
      </c>
    </row>
    <row r="14" spans="1:4" x14ac:dyDescent="0.3">
      <c r="A14" s="12" t="s">
        <v>26</v>
      </c>
      <c r="B14" s="13" t="s">
        <v>27</v>
      </c>
      <c r="C14" s="13">
        <v>0.6</v>
      </c>
      <c r="D14" s="48">
        <f t="shared" si="0"/>
        <v>15</v>
      </c>
    </row>
    <row r="15" spans="1:4" x14ac:dyDescent="0.3">
      <c r="A15" s="12" t="s">
        <v>67</v>
      </c>
      <c r="B15" s="13" t="s">
        <v>28</v>
      </c>
      <c r="C15" s="13">
        <v>1</v>
      </c>
      <c r="D15" s="48">
        <f t="shared" si="0"/>
        <v>9</v>
      </c>
    </row>
    <row r="16" spans="1:4" x14ac:dyDescent="0.3">
      <c r="A16" s="12" t="s">
        <v>68</v>
      </c>
      <c r="B16" s="13" t="s">
        <v>29</v>
      </c>
      <c r="C16" s="13">
        <v>1</v>
      </c>
      <c r="D16" s="48">
        <f t="shared" si="0"/>
        <v>9</v>
      </c>
    </row>
    <row r="17" spans="1:4" ht="17.25" customHeight="1" x14ac:dyDescent="0.3">
      <c r="A17" s="12" t="s">
        <v>30</v>
      </c>
      <c r="B17" s="13" t="s">
        <v>31</v>
      </c>
      <c r="C17" s="13">
        <v>1.2</v>
      </c>
      <c r="D17" s="48">
        <f t="shared" si="0"/>
        <v>3</v>
      </c>
    </row>
    <row r="18" spans="1:4" x14ac:dyDescent="0.3">
      <c r="A18" s="12" t="s">
        <v>32</v>
      </c>
      <c r="B18" s="13" t="s">
        <v>33</v>
      </c>
      <c r="C18" s="13">
        <v>1</v>
      </c>
      <c r="D18" s="48">
        <f t="shared" si="0"/>
        <v>9</v>
      </c>
    </row>
    <row r="19" spans="1:4" ht="17.25" thickBot="1" x14ac:dyDescent="0.35">
      <c r="A19" s="49" t="s">
        <v>158</v>
      </c>
      <c r="B19" s="50" t="s">
        <v>159</v>
      </c>
      <c r="C19" s="50">
        <v>0.8</v>
      </c>
      <c r="D19" s="48">
        <f>_xlfn.RANK.EQ(C19, $C$2:$C$19, 0)</f>
        <v>13</v>
      </c>
    </row>
    <row r="20" spans="1:4" x14ac:dyDescent="0.3">
      <c r="A20" s="5" t="s">
        <v>34</v>
      </c>
      <c r="B20" s="6"/>
      <c r="C20" s="7">
        <f>SUM(C2:C19)</f>
        <v>22</v>
      </c>
      <c r="D20" s="8"/>
    </row>
    <row r="21" spans="1:4" ht="17.25" thickBot="1" x14ac:dyDescent="0.35">
      <c r="A21" s="2" t="s">
        <v>35</v>
      </c>
      <c r="B21" s="3"/>
      <c r="C21" s="3">
        <f>22-C20</f>
        <v>0</v>
      </c>
      <c r="D21" s="4"/>
    </row>
  </sheetData>
  <phoneticPr fontId="2" type="noConversion"/>
  <dataValidations count="1">
    <dataValidation type="custom" allowBlank="1" showInputMessage="1" showErrorMessage="1" sqref="A2:A18" xr:uid="{02BC3E9E-7728-45EE-9A5C-1ED46670E59C}">
      <formula1>I1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6254-ACAC-48DA-9DEE-95B361F8EA5D}">
  <dimension ref="A1:C16"/>
  <sheetViews>
    <sheetView workbookViewId="0">
      <selection activeCell="A2" sqref="A2:C14"/>
    </sheetView>
  </sheetViews>
  <sheetFormatPr defaultRowHeight="16.5" x14ac:dyDescent="0.3"/>
  <cols>
    <col min="1" max="1" width="9.625" bestFit="1" customWidth="1"/>
    <col min="2" max="2" width="59.5" bestFit="1" customWidth="1"/>
    <col min="3" max="3" width="6.5" style="40" bestFit="1" customWidth="1"/>
  </cols>
  <sheetData>
    <row r="1" spans="1:3" ht="17.25" thickBot="1" x14ac:dyDescent="0.35">
      <c r="A1" s="14" t="s">
        <v>50</v>
      </c>
      <c r="B1" s="15" t="s">
        <v>51</v>
      </c>
      <c r="C1" s="33" t="s">
        <v>52</v>
      </c>
    </row>
    <row r="2" spans="1:3" x14ac:dyDescent="0.3">
      <c r="A2" s="16">
        <v>1</v>
      </c>
      <c r="B2" s="17" t="s">
        <v>46</v>
      </c>
      <c r="C2" s="35">
        <v>0.3</v>
      </c>
    </row>
    <row r="3" spans="1:3" x14ac:dyDescent="0.3">
      <c r="A3" s="16">
        <v>2</v>
      </c>
      <c r="B3" s="17" t="s">
        <v>154</v>
      </c>
      <c r="C3" s="35">
        <v>0.3</v>
      </c>
    </row>
    <row r="4" spans="1:3" x14ac:dyDescent="0.3">
      <c r="A4" s="16">
        <v>3</v>
      </c>
      <c r="B4" s="17" t="s">
        <v>37</v>
      </c>
      <c r="C4" s="35">
        <v>0.2</v>
      </c>
    </row>
    <row r="5" spans="1:3" x14ac:dyDescent="0.3">
      <c r="A5" s="16">
        <v>4</v>
      </c>
      <c r="B5" s="17" t="s">
        <v>38</v>
      </c>
      <c r="C5" s="35">
        <v>0.3</v>
      </c>
    </row>
    <row r="6" spans="1:3" x14ac:dyDescent="0.3">
      <c r="A6" s="16">
        <v>5</v>
      </c>
      <c r="B6" s="17" t="s">
        <v>47</v>
      </c>
      <c r="C6" s="36">
        <v>0.4</v>
      </c>
    </row>
    <row r="7" spans="1:3" x14ac:dyDescent="0.3">
      <c r="A7" s="16">
        <v>6</v>
      </c>
      <c r="B7" s="17" t="s">
        <v>39</v>
      </c>
      <c r="C7" s="36">
        <v>0.1</v>
      </c>
    </row>
    <row r="8" spans="1:3" x14ac:dyDescent="0.3">
      <c r="A8" s="16">
        <v>7</v>
      </c>
      <c r="B8" s="17" t="s">
        <v>40</v>
      </c>
      <c r="C8" s="36">
        <v>0.1</v>
      </c>
    </row>
    <row r="9" spans="1:3" x14ac:dyDescent="0.3">
      <c r="A9" s="16">
        <v>8</v>
      </c>
      <c r="B9" s="17" t="s">
        <v>41</v>
      </c>
      <c r="C9" s="36">
        <v>0.1</v>
      </c>
    </row>
    <row r="10" spans="1:3" x14ac:dyDescent="0.3">
      <c r="A10" s="16">
        <v>9</v>
      </c>
      <c r="B10" s="17" t="s">
        <v>42</v>
      </c>
      <c r="C10" s="36">
        <v>0.5</v>
      </c>
    </row>
    <row r="11" spans="1:3" x14ac:dyDescent="0.3">
      <c r="A11" s="16">
        <v>10</v>
      </c>
      <c r="B11" s="17" t="s">
        <v>43</v>
      </c>
      <c r="C11" s="41">
        <v>0.4</v>
      </c>
    </row>
    <row r="12" spans="1:3" x14ac:dyDescent="0.3">
      <c r="A12" s="16">
        <v>11</v>
      </c>
      <c r="B12" s="17" t="s">
        <v>44</v>
      </c>
      <c r="C12" s="41">
        <v>0.1</v>
      </c>
    </row>
    <row r="13" spans="1:3" x14ac:dyDescent="0.3">
      <c r="A13" s="16">
        <v>12</v>
      </c>
      <c r="B13" s="17" t="s">
        <v>155</v>
      </c>
      <c r="C13" s="41">
        <v>0.1</v>
      </c>
    </row>
    <row r="14" spans="1:3" ht="17.25" thickBot="1" x14ac:dyDescent="0.35">
      <c r="A14" s="16">
        <v>13</v>
      </c>
      <c r="B14" s="17" t="s">
        <v>45</v>
      </c>
      <c r="C14" s="42">
        <v>0.1</v>
      </c>
    </row>
    <row r="15" spans="1:3" x14ac:dyDescent="0.3">
      <c r="A15" s="19" t="s">
        <v>48</v>
      </c>
      <c r="B15" s="20"/>
      <c r="C15" s="39">
        <f>SUM(C2:C14)</f>
        <v>3.0000000000000004</v>
      </c>
    </row>
    <row r="16" spans="1:3" ht="17.25" thickBot="1" x14ac:dyDescent="0.35">
      <c r="A16" s="18" t="s">
        <v>35</v>
      </c>
      <c r="B16" s="3"/>
      <c r="C16" s="38">
        <f>3-C15</f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8959-190A-4234-8DF7-C1739BBDBB5B}">
  <dimension ref="A1:C35"/>
  <sheetViews>
    <sheetView workbookViewId="0">
      <selection activeCell="A3" sqref="A3:C11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0" t="s">
        <v>130</v>
      </c>
      <c r="C3" s="39">
        <v>0.3</v>
      </c>
    </row>
    <row r="4" spans="1:3" x14ac:dyDescent="0.3">
      <c r="A4" s="16">
        <v>2</v>
      </c>
      <c r="B4" s="17" t="s">
        <v>54</v>
      </c>
      <c r="C4" s="35">
        <v>0.1</v>
      </c>
    </row>
    <row r="5" spans="1:3" x14ac:dyDescent="0.3">
      <c r="A5" s="16">
        <v>3</v>
      </c>
      <c r="B5" s="17" t="s">
        <v>55</v>
      </c>
      <c r="C5" s="35">
        <v>0.1</v>
      </c>
    </row>
    <row r="6" spans="1:3" x14ac:dyDescent="0.3">
      <c r="A6" s="16">
        <v>4</v>
      </c>
      <c r="B6" s="17" t="s">
        <v>56</v>
      </c>
      <c r="C6" s="35">
        <v>0.1</v>
      </c>
    </row>
    <row r="7" spans="1:3" x14ac:dyDescent="0.3">
      <c r="A7" s="16">
        <v>5</v>
      </c>
      <c r="B7" s="17" t="s">
        <v>57</v>
      </c>
      <c r="C7" s="35">
        <v>0.1</v>
      </c>
    </row>
    <row r="8" spans="1:3" x14ac:dyDescent="0.3">
      <c r="A8" s="16">
        <v>6</v>
      </c>
      <c r="B8" s="17" t="s">
        <v>58</v>
      </c>
      <c r="C8" s="36">
        <v>0.1</v>
      </c>
    </row>
    <row r="9" spans="1:3" x14ac:dyDescent="0.3">
      <c r="A9" s="16">
        <v>7</v>
      </c>
      <c r="B9" s="17" t="s">
        <v>59</v>
      </c>
      <c r="C9" s="36">
        <v>0.2</v>
      </c>
    </row>
    <row r="10" spans="1:3" x14ac:dyDescent="0.3">
      <c r="A10" s="16">
        <v>8</v>
      </c>
      <c r="B10" s="17" t="s">
        <v>60</v>
      </c>
      <c r="C10" s="36">
        <v>0.1</v>
      </c>
    </row>
    <row r="11" spans="1:3" x14ac:dyDescent="0.3">
      <c r="A11" s="22">
        <v>9</v>
      </c>
      <c r="B11" s="17" t="s">
        <v>61</v>
      </c>
      <c r="C11" s="36">
        <v>0.1</v>
      </c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SUM(C3:C31)</f>
        <v>1.2000000000000002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99FE7D-E794-4D51-B64E-0B069CE8568B}">
          <x14:formula1>
            <xm:f>전체!$A$2:$A$18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D7AD-4540-4EFF-AAE2-E368F843161E}">
  <dimension ref="A1:C35"/>
  <sheetViews>
    <sheetView workbookViewId="0">
      <selection activeCell="A3" sqref="A3:C9"/>
    </sheetView>
  </sheetViews>
  <sheetFormatPr defaultRowHeight="16.5" x14ac:dyDescent="0.3"/>
  <cols>
    <col min="1" max="1" width="9.625" bestFit="1" customWidth="1"/>
    <col min="2" max="2" width="54.625" bestFit="1" customWidth="1"/>
    <col min="3" max="3" width="8.875" style="40" bestFit="1" customWidth="1"/>
  </cols>
  <sheetData>
    <row r="1" spans="1:3" ht="21" thickBot="1" x14ac:dyDescent="0.35">
      <c r="B1" s="27" t="s">
        <v>4</v>
      </c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9">
        <v>0.3</v>
      </c>
    </row>
    <row r="4" spans="1:3" x14ac:dyDescent="0.3">
      <c r="A4" s="16">
        <v>2</v>
      </c>
      <c r="B4" s="17" t="s">
        <v>62</v>
      </c>
      <c r="C4" s="35">
        <v>0.1</v>
      </c>
    </row>
    <row r="5" spans="1:3" x14ac:dyDescent="0.3">
      <c r="A5" s="16">
        <v>3</v>
      </c>
      <c r="B5" s="25" t="s">
        <v>63</v>
      </c>
      <c r="C5" s="35">
        <v>0.2</v>
      </c>
    </row>
    <row r="6" spans="1:3" x14ac:dyDescent="0.3">
      <c r="A6" s="16">
        <v>4</v>
      </c>
      <c r="B6" s="17" t="s">
        <v>64</v>
      </c>
      <c r="C6" s="35">
        <v>0.1</v>
      </c>
    </row>
    <row r="7" spans="1:3" x14ac:dyDescent="0.3">
      <c r="A7" s="16">
        <v>5</v>
      </c>
      <c r="B7" s="17" t="s">
        <v>65</v>
      </c>
      <c r="C7" s="35">
        <v>0.2</v>
      </c>
    </row>
    <row r="8" spans="1:3" x14ac:dyDescent="0.3">
      <c r="A8" s="16">
        <v>6</v>
      </c>
      <c r="B8" s="17" t="s">
        <v>59</v>
      </c>
      <c r="C8" s="36">
        <v>0.1</v>
      </c>
    </row>
    <row r="9" spans="1:3" x14ac:dyDescent="0.3">
      <c r="A9" s="16">
        <v>7</v>
      </c>
      <c r="B9" s="17" t="s">
        <v>66</v>
      </c>
      <c r="C9" s="36">
        <v>0.1</v>
      </c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1.1000000000000003</v>
      </c>
    </row>
    <row r="34" spans="1:3" x14ac:dyDescent="0.3">
      <c r="A34" s="21" t="s">
        <v>53</v>
      </c>
      <c r="B34" s="1"/>
      <c r="C34" s="37">
        <f>_xlfn.XLOOKUP(B1, 전체!A2:A18, 전체!C2:C18, "없음")</f>
        <v>1.1000000000000001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BA2B08-6D70-4568-A9D6-0422EFAE739E}">
          <x14:formula1>
            <xm:f>전체!$A$2:$A$18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A06D-87B6-4567-9AE7-41607B88BC96}">
  <dimension ref="A1:C35"/>
  <sheetViews>
    <sheetView workbookViewId="0">
      <selection activeCell="A3" sqref="A3:C8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6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9">
        <v>0.3</v>
      </c>
    </row>
    <row r="4" spans="1:3" x14ac:dyDescent="0.3">
      <c r="A4" s="16">
        <v>2</v>
      </c>
      <c r="B4" s="17" t="s">
        <v>69</v>
      </c>
      <c r="C4" s="35">
        <v>0.1</v>
      </c>
    </row>
    <row r="5" spans="1:3" x14ac:dyDescent="0.3">
      <c r="A5" s="16">
        <v>3</v>
      </c>
      <c r="B5" s="25" t="s">
        <v>70</v>
      </c>
      <c r="C5" s="35">
        <v>0.2</v>
      </c>
    </row>
    <row r="6" spans="1:3" x14ac:dyDescent="0.3">
      <c r="A6" s="16">
        <v>4</v>
      </c>
      <c r="B6" s="17" t="s">
        <v>71</v>
      </c>
      <c r="C6" s="35">
        <v>0.2</v>
      </c>
    </row>
    <row r="7" spans="1:3" x14ac:dyDescent="0.3">
      <c r="A7" s="16">
        <v>5</v>
      </c>
      <c r="B7" s="17" t="s">
        <v>72</v>
      </c>
      <c r="C7" s="35">
        <v>0.3</v>
      </c>
    </row>
    <row r="8" spans="1:3" x14ac:dyDescent="0.3">
      <c r="A8" s="16">
        <v>6</v>
      </c>
      <c r="B8" s="17" t="s">
        <v>73</v>
      </c>
      <c r="C8" s="36">
        <v>0.3</v>
      </c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1.4000000000000001</v>
      </c>
    </row>
    <row r="34" spans="1:3" x14ac:dyDescent="0.3">
      <c r="A34" s="21" t="s">
        <v>53</v>
      </c>
      <c r="B34" s="1"/>
      <c r="C34" s="37">
        <f>_xlfn.XLOOKUP(B1, 전체!A2:A18, 전체!C2:C18, "없음")</f>
        <v>1.4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552ABA-F2CE-49E3-8872-20B7F8BBBF39}">
          <x14:formula1>
            <xm:f>전체!$A$2:$A$18</xm:f>
          </x14:formula1>
          <xm:sqref>B1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66A3-BB2C-4B59-ADB5-6F4BA4F1B06C}">
  <dimension ref="A1:C35"/>
  <sheetViews>
    <sheetView topLeftCell="A12" workbookViewId="0">
      <selection activeCell="A3" sqref="A3:C9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8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9">
        <v>0.2</v>
      </c>
    </row>
    <row r="4" spans="1:3" x14ac:dyDescent="0.3">
      <c r="A4" s="16">
        <v>2</v>
      </c>
      <c r="B4" s="17" t="s">
        <v>74</v>
      </c>
      <c r="C4" s="35">
        <v>0.1</v>
      </c>
    </row>
    <row r="5" spans="1:3" x14ac:dyDescent="0.3">
      <c r="A5" s="16">
        <v>3</v>
      </c>
      <c r="B5" s="25" t="s">
        <v>75</v>
      </c>
      <c r="C5" s="35">
        <v>0.3</v>
      </c>
    </row>
    <row r="6" spans="1:3" x14ac:dyDescent="0.3">
      <c r="A6" s="16">
        <v>4</v>
      </c>
      <c r="B6" s="17" t="s">
        <v>76</v>
      </c>
      <c r="C6" s="35">
        <v>0.1</v>
      </c>
    </row>
    <row r="7" spans="1:3" x14ac:dyDescent="0.3">
      <c r="A7" s="16">
        <v>5</v>
      </c>
      <c r="B7" s="17" t="s">
        <v>77</v>
      </c>
      <c r="C7" s="35">
        <v>0.1</v>
      </c>
    </row>
    <row r="8" spans="1:3" x14ac:dyDescent="0.3">
      <c r="A8" s="16">
        <v>6</v>
      </c>
      <c r="B8" s="17" t="s">
        <v>78</v>
      </c>
      <c r="C8" s="36">
        <v>0.1</v>
      </c>
    </row>
    <row r="9" spans="1:3" x14ac:dyDescent="0.3">
      <c r="A9" s="16">
        <v>7</v>
      </c>
      <c r="B9" s="17" t="s">
        <v>79</v>
      </c>
      <c r="C9" s="36">
        <v>0.1</v>
      </c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</v>
      </c>
    </row>
    <row r="34" spans="1:3" x14ac:dyDescent="0.3">
      <c r="A34" s="21" t="s">
        <v>53</v>
      </c>
      <c r="B34" s="1"/>
      <c r="C34" s="37">
        <f>_xlfn.XLOOKUP(B1, 전체!A2:A18, 전체!C2:C18, "없음")</f>
        <v>1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001FC8-0B34-42F2-A17F-2115AF37B853}">
          <x14:formula1>
            <xm:f>전체!$A$2:$A$18</xm:f>
          </x14:formula1>
          <xm:sqref>B1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B230-9CD9-4B2F-96DB-12C25BDCA8A9}">
  <dimension ref="A1:C35"/>
  <sheetViews>
    <sheetView workbookViewId="0">
      <selection activeCell="A3" sqref="A3:C8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10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9">
        <v>0.3</v>
      </c>
    </row>
    <row r="4" spans="1:3" x14ac:dyDescent="0.3">
      <c r="A4" s="16">
        <v>2</v>
      </c>
      <c r="B4" s="17" t="s">
        <v>80</v>
      </c>
      <c r="C4" s="35">
        <v>0.2</v>
      </c>
    </row>
    <row r="5" spans="1:3" x14ac:dyDescent="0.3">
      <c r="A5" s="16">
        <v>3</v>
      </c>
      <c r="B5" s="25" t="s">
        <v>81</v>
      </c>
      <c r="C5" s="35">
        <v>0.1</v>
      </c>
    </row>
    <row r="6" spans="1:3" x14ac:dyDescent="0.3">
      <c r="A6" s="16">
        <v>4</v>
      </c>
      <c r="B6" s="17" t="s">
        <v>82</v>
      </c>
      <c r="C6" s="35">
        <v>0.1</v>
      </c>
    </row>
    <row r="7" spans="1:3" x14ac:dyDescent="0.3">
      <c r="A7" s="16">
        <v>5</v>
      </c>
      <c r="B7" s="17" t="s">
        <v>83</v>
      </c>
      <c r="C7" s="35">
        <v>0.2</v>
      </c>
    </row>
    <row r="8" spans="1:3" x14ac:dyDescent="0.3">
      <c r="A8" s="16">
        <v>6</v>
      </c>
      <c r="B8" s="17" t="s">
        <v>131</v>
      </c>
      <c r="C8" s="36">
        <v>0.3</v>
      </c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1.2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CFF3A4-0AB3-4B47-B957-BF57130AB18C}">
          <x14:formula1>
            <xm:f>전체!$A$2:$A$18</xm:f>
          </x14:formula1>
          <xm:sqref>B1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B3BF-9DAD-4FAA-8F20-8F7969DD70E5}">
  <dimension ref="A1:C35"/>
  <sheetViews>
    <sheetView workbookViewId="0">
      <selection activeCell="A3" sqref="A3:C10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12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4">
        <v>0.3</v>
      </c>
    </row>
    <row r="4" spans="1:3" x14ac:dyDescent="0.3">
      <c r="A4" s="16">
        <v>2</v>
      </c>
      <c r="B4" s="17" t="s">
        <v>84</v>
      </c>
      <c r="C4" s="35">
        <v>0.1</v>
      </c>
    </row>
    <row r="5" spans="1:3" x14ac:dyDescent="0.3">
      <c r="A5" s="16">
        <v>3</v>
      </c>
      <c r="B5" s="25" t="s">
        <v>85</v>
      </c>
      <c r="C5" s="35">
        <v>0.1</v>
      </c>
    </row>
    <row r="6" spans="1:3" x14ac:dyDescent="0.3">
      <c r="A6" s="16">
        <v>4</v>
      </c>
      <c r="B6" s="17" t="s">
        <v>86</v>
      </c>
      <c r="C6" s="35">
        <v>0.1</v>
      </c>
    </row>
    <row r="7" spans="1:3" x14ac:dyDescent="0.3">
      <c r="A7" s="16">
        <v>5</v>
      </c>
      <c r="B7" s="17" t="s">
        <v>87</v>
      </c>
      <c r="C7" s="35">
        <v>0.2</v>
      </c>
    </row>
    <row r="8" spans="1:3" x14ac:dyDescent="0.3">
      <c r="A8" s="16">
        <v>6</v>
      </c>
      <c r="B8" s="17" t="s">
        <v>89</v>
      </c>
      <c r="C8" s="36">
        <v>0.2</v>
      </c>
    </row>
    <row r="9" spans="1:3" x14ac:dyDescent="0.3">
      <c r="A9" s="16">
        <v>7</v>
      </c>
      <c r="B9" s="30" t="s">
        <v>88</v>
      </c>
      <c r="C9" s="36">
        <v>0.1</v>
      </c>
    </row>
    <row r="10" spans="1:3" x14ac:dyDescent="0.3">
      <c r="A10" s="16">
        <v>8</v>
      </c>
      <c r="B10" s="17" t="s">
        <v>90</v>
      </c>
      <c r="C10" s="36">
        <v>0.1</v>
      </c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1.2000000000000002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754F0E-9958-44A6-8675-1F365CBE4A81}">
          <x14:formula1>
            <xm:f>전체!$A$2:$A$18</xm:f>
          </x14:formula1>
          <xm:sqref>B1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28A3-3417-4650-9ED5-FD768A1BC45C}">
  <dimension ref="A1:C35"/>
  <sheetViews>
    <sheetView workbookViewId="0">
      <selection activeCell="A3" sqref="A3:C8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14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4">
        <v>0.2</v>
      </c>
    </row>
    <row r="4" spans="1:3" x14ac:dyDescent="0.3">
      <c r="A4" s="16">
        <v>2</v>
      </c>
      <c r="B4" s="17" t="s">
        <v>91</v>
      </c>
      <c r="C4" s="35">
        <v>0.1</v>
      </c>
    </row>
    <row r="5" spans="1:3" x14ac:dyDescent="0.3">
      <c r="A5" s="16">
        <v>3</v>
      </c>
      <c r="B5" s="25" t="s">
        <v>92</v>
      </c>
      <c r="C5" s="35">
        <v>0.1</v>
      </c>
    </row>
    <row r="6" spans="1:3" x14ac:dyDescent="0.3">
      <c r="A6" s="16">
        <v>4</v>
      </c>
      <c r="B6" s="17" t="s">
        <v>93</v>
      </c>
      <c r="C6" s="35">
        <v>0.1</v>
      </c>
    </row>
    <row r="7" spans="1:3" x14ac:dyDescent="0.3">
      <c r="A7" s="16">
        <v>5</v>
      </c>
      <c r="B7" s="17" t="s">
        <v>94</v>
      </c>
      <c r="C7" s="35">
        <v>0.1</v>
      </c>
    </row>
    <row r="8" spans="1:3" x14ac:dyDescent="0.3">
      <c r="A8" s="16">
        <v>6</v>
      </c>
      <c r="B8" s="17" t="s">
        <v>95</v>
      </c>
      <c r="C8" s="36">
        <v>0.2</v>
      </c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0.8</v>
      </c>
    </row>
    <row r="34" spans="1:3" x14ac:dyDescent="0.3">
      <c r="A34" s="21" t="s">
        <v>53</v>
      </c>
      <c r="B34" s="1"/>
      <c r="C34" s="37">
        <f>_xlfn.XLOOKUP(B1, 전체!A2:A18, 전체!C2:C18, "없음")</f>
        <v>0.8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84A105-B4E3-40B2-9DAD-47D78E2A5411}">
          <x14:formula1>
            <xm:f>전체!$A$2:$A$18</xm:f>
          </x14:formula1>
          <xm:sqref>B1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3E64-E7F5-485F-B640-21A468390589}">
  <dimension ref="A1:C35"/>
  <sheetViews>
    <sheetView workbookViewId="0">
      <selection activeCell="A3" sqref="A3:C10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16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130</v>
      </c>
      <c r="C3" s="34">
        <v>0.2</v>
      </c>
    </row>
    <row r="4" spans="1:3" x14ac:dyDescent="0.3">
      <c r="A4" s="16">
        <v>2</v>
      </c>
      <c r="B4" s="17" t="s">
        <v>74</v>
      </c>
      <c r="C4" s="35">
        <v>0.1</v>
      </c>
    </row>
    <row r="5" spans="1:3" x14ac:dyDescent="0.3">
      <c r="A5" s="16">
        <v>3</v>
      </c>
      <c r="B5" s="25" t="s">
        <v>96</v>
      </c>
      <c r="C5" s="35">
        <v>0.1</v>
      </c>
    </row>
    <row r="6" spans="1:3" x14ac:dyDescent="0.3">
      <c r="A6" s="16">
        <v>4</v>
      </c>
      <c r="B6" s="17" t="s">
        <v>97</v>
      </c>
      <c r="C6" s="35">
        <v>0.2</v>
      </c>
    </row>
    <row r="7" spans="1:3" x14ac:dyDescent="0.3">
      <c r="A7" s="16">
        <v>5</v>
      </c>
      <c r="B7" s="17" t="s">
        <v>98</v>
      </c>
      <c r="C7" s="35">
        <v>0.1</v>
      </c>
    </row>
    <row r="8" spans="1:3" x14ac:dyDescent="0.3">
      <c r="A8" s="16">
        <v>6</v>
      </c>
      <c r="B8" s="17" t="s">
        <v>99</v>
      </c>
      <c r="C8" s="36">
        <v>0.2</v>
      </c>
    </row>
    <row r="9" spans="1:3" x14ac:dyDescent="0.3">
      <c r="A9" s="16">
        <v>7</v>
      </c>
      <c r="B9" s="17" t="s">
        <v>100</v>
      </c>
      <c r="C9" s="36">
        <v>0.2</v>
      </c>
    </row>
    <row r="10" spans="1:3" x14ac:dyDescent="0.3">
      <c r="A10" s="16">
        <v>8</v>
      </c>
      <c r="B10" s="17" t="s">
        <v>101</v>
      </c>
      <c r="C10" s="36">
        <v>0.1</v>
      </c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1.2000000000000002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7E0E46-A45D-4110-83C8-DF7FA1CFCE92}">
          <x14:formula1>
            <xm:f>전체!$A$2:$A$18</xm:f>
          </x14:formula1>
          <xm:sqref>B1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C83D-5302-4B70-8EC1-98443E53E425}">
  <dimension ref="A1:C35"/>
  <sheetViews>
    <sheetView workbookViewId="0">
      <selection activeCell="A3" sqref="A3:C30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18</v>
      </c>
      <c r="C1" s="32"/>
    </row>
    <row r="2" spans="1:3" ht="17.25" thickBot="1" x14ac:dyDescent="0.35">
      <c r="A2" s="43" t="s">
        <v>50</v>
      </c>
      <c r="B2" s="44" t="s">
        <v>51</v>
      </c>
      <c r="C2" s="45" t="s">
        <v>52</v>
      </c>
    </row>
    <row r="3" spans="1:3" x14ac:dyDescent="0.3">
      <c r="A3" s="23">
        <v>1</v>
      </c>
      <c r="B3" s="20" t="s">
        <v>132</v>
      </c>
      <c r="C3" s="34">
        <v>0.5</v>
      </c>
    </row>
    <row r="4" spans="1:3" x14ac:dyDescent="0.3">
      <c r="A4" s="16">
        <v>2</v>
      </c>
      <c r="B4" s="17" t="s">
        <v>102</v>
      </c>
      <c r="C4" s="35">
        <v>0.1</v>
      </c>
    </row>
    <row r="5" spans="1:3" x14ac:dyDescent="0.3">
      <c r="A5" s="16">
        <v>3</v>
      </c>
      <c r="B5" s="25" t="s">
        <v>103</v>
      </c>
      <c r="C5" s="35">
        <v>0.3</v>
      </c>
    </row>
    <row r="6" spans="1:3" x14ac:dyDescent="0.3">
      <c r="A6" s="16">
        <v>4</v>
      </c>
      <c r="B6" s="17" t="s">
        <v>104</v>
      </c>
      <c r="C6" s="35">
        <v>0.2</v>
      </c>
    </row>
    <row r="7" spans="1:3" x14ac:dyDescent="0.3">
      <c r="A7" s="16">
        <v>5</v>
      </c>
      <c r="B7" s="17" t="s">
        <v>105</v>
      </c>
      <c r="C7" s="35">
        <v>0.1</v>
      </c>
    </row>
    <row r="8" spans="1:3" x14ac:dyDescent="0.3">
      <c r="A8" s="16">
        <v>6</v>
      </c>
      <c r="B8" s="30" t="s">
        <v>127</v>
      </c>
      <c r="C8" s="37">
        <v>0.3</v>
      </c>
    </row>
    <row r="9" spans="1:3" x14ac:dyDescent="0.3">
      <c r="A9" s="16">
        <v>7</v>
      </c>
      <c r="B9" s="17" t="s">
        <v>106</v>
      </c>
      <c r="C9" s="36">
        <v>0.3</v>
      </c>
    </row>
    <row r="10" spans="1:3" x14ac:dyDescent="0.3">
      <c r="A10" s="16">
        <v>8</v>
      </c>
      <c r="B10" s="17" t="s">
        <v>107</v>
      </c>
      <c r="C10" s="36">
        <v>0.3</v>
      </c>
    </row>
    <row r="11" spans="1:3" x14ac:dyDescent="0.3">
      <c r="A11" s="22">
        <v>9</v>
      </c>
      <c r="B11" s="17" t="s">
        <v>109</v>
      </c>
      <c r="C11" s="36">
        <v>0.1</v>
      </c>
    </row>
    <row r="12" spans="1:3" x14ac:dyDescent="0.3">
      <c r="A12" s="16">
        <v>10</v>
      </c>
      <c r="B12" s="17" t="s">
        <v>108</v>
      </c>
      <c r="C12" s="37">
        <v>0.2</v>
      </c>
    </row>
    <row r="13" spans="1:3" x14ac:dyDescent="0.3">
      <c r="A13" s="16">
        <v>11</v>
      </c>
      <c r="B13" s="17" t="s">
        <v>156</v>
      </c>
      <c r="C13" s="37">
        <v>0.4</v>
      </c>
    </row>
    <row r="14" spans="1:3" x14ac:dyDescent="0.3">
      <c r="A14" s="16">
        <v>12</v>
      </c>
      <c r="B14" s="17" t="s">
        <v>110</v>
      </c>
      <c r="C14" s="37">
        <v>0.2</v>
      </c>
    </row>
    <row r="15" spans="1:3" x14ac:dyDescent="0.3">
      <c r="A15" s="16">
        <v>13</v>
      </c>
      <c r="B15" s="17" t="s">
        <v>111</v>
      </c>
      <c r="C15" s="37">
        <v>0.1</v>
      </c>
    </row>
    <row r="16" spans="1:3" x14ac:dyDescent="0.3">
      <c r="A16" s="16">
        <v>14</v>
      </c>
      <c r="B16" s="17" t="s">
        <v>112</v>
      </c>
      <c r="C16" s="37">
        <v>0.1</v>
      </c>
    </row>
    <row r="17" spans="1:3" x14ac:dyDescent="0.3">
      <c r="A17" s="16">
        <v>15</v>
      </c>
      <c r="B17" s="17" t="s">
        <v>113</v>
      </c>
      <c r="C17" s="37">
        <v>0.2</v>
      </c>
    </row>
    <row r="18" spans="1:3" x14ac:dyDescent="0.3">
      <c r="A18" s="16">
        <v>16</v>
      </c>
      <c r="B18" s="17" t="s">
        <v>114</v>
      </c>
      <c r="C18" s="37">
        <v>0.1</v>
      </c>
    </row>
    <row r="19" spans="1:3" x14ac:dyDescent="0.3">
      <c r="A19" s="16">
        <v>17</v>
      </c>
      <c r="B19" s="17" t="s">
        <v>115</v>
      </c>
      <c r="C19" s="37">
        <v>0.2</v>
      </c>
    </row>
    <row r="20" spans="1:3" x14ac:dyDescent="0.3">
      <c r="A20" s="22">
        <v>18</v>
      </c>
      <c r="B20" s="17" t="s">
        <v>116</v>
      </c>
      <c r="C20" s="37">
        <v>0.2</v>
      </c>
    </row>
    <row r="21" spans="1:3" x14ac:dyDescent="0.3">
      <c r="A21" s="16">
        <v>19</v>
      </c>
      <c r="B21" s="17" t="s">
        <v>117</v>
      </c>
      <c r="C21" s="37">
        <v>0.2</v>
      </c>
    </row>
    <row r="22" spans="1:3" x14ac:dyDescent="0.3">
      <c r="A22" s="16">
        <v>20</v>
      </c>
      <c r="B22" s="17" t="s">
        <v>118</v>
      </c>
      <c r="C22" s="37">
        <v>0.1</v>
      </c>
    </row>
    <row r="23" spans="1:3" x14ac:dyDescent="0.3">
      <c r="A23" s="16">
        <v>21</v>
      </c>
      <c r="B23" s="17" t="s">
        <v>119</v>
      </c>
      <c r="C23" s="37">
        <v>0.1</v>
      </c>
    </row>
    <row r="24" spans="1:3" x14ac:dyDescent="0.3">
      <c r="A24" s="16">
        <v>22</v>
      </c>
      <c r="B24" s="17" t="s">
        <v>120</v>
      </c>
      <c r="C24" s="37">
        <v>0.1</v>
      </c>
    </row>
    <row r="25" spans="1:3" x14ac:dyDescent="0.3">
      <c r="A25" s="16">
        <v>23</v>
      </c>
      <c r="B25" s="17" t="s">
        <v>121</v>
      </c>
      <c r="C25" s="37">
        <v>0.1</v>
      </c>
    </row>
    <row r="26" spans="1:3" x14ac:dyDescent="0.3">
      <c r="A26" s="16">
        <v>24</v>
      </c>
      <c r="B26" s="17" t="s">
        <v>122</v>
      </c>
      <c r="C26" s="37">
        <v>0.2</v>
      </c>
    </row>
    <row r="27" spans="1:3" x14ac:dyDescent="0.3">
      <c r="A27" s="16">
        <v>25</v>
      </c>
      <c r="B27" s="17" t="s">
        <v>123</v>
      </c>
      <c r="C27" s="37">
        <v>0.1</v>
      </c>
    </row>
    <row r="28" spans="1:3" x14ac:dyDescent="0.3">
      <c r="A28" s="16">
        <v>26</v>
      </c>
      <c r="B28" s="17" t="s">
        <v>124</v>
      </c>
      <c r="C28" s="37">
        <v>0.1</v>
      </c>
    </row>
    <row r="29" spans="1:3" x14ac:dyDescent="0.3">
      <c r="A29" s="22">
        <v>27</v>
      </c>
      <c r="B29" s="17" t="s">
        <v>125</v>
      </c>
      <c r="C29" s="37">
        <v>0.2</v>
      </c>
    </row>
    <row r="30" spans="1:3" x14ac:dyDescent="0.3">
      <c r="A30" s="16">
        <v>28</v>
      </c>
      <c r="B30" s="17" t="s">
        <v>126</v>
      </c>
      <c r="C30" s="37">
        <v>0.4</v>
      </c>
    </row>
    <row r="31" spans="1:3" x14ac:dyDescent="0.3">
      <c r="A31" s="16">
        <v>29</v>
      </c>
      <c r="C31" s="37"/>
    </row>
    <row r="32" spans="1:3" ht="17.25" thickBot="1" x14ac:dyDescent="0.35">
      <c r="A32" s="26">
        <v>30</v>
      </c>
      <c r="B32" s="31"/>
      <c r="C32" s="38"/>
    </row>
    <row r="33" spans="1:3" x14ac:dyDescent="0.3">
      <c r="A33" s="46" t="s">
        <v>48</v>
      </c>
      <c r="B33" s="1"/>
      <c r="C33" s="37">
        <f>SUM(C3:C32)</f>
        <v>5.5</v>
      </c>
    </row>
    <row r="34" spans="1:3" x14ac:dyDescent="0.3">
      <c r="A34" s="21" t="s">
        <v>53</v>
      </c>
      <c r="B34" s="1"/>
      <c r="C34" s="37">
        <f>_xlfn.XLOOKUP(B1, 전체!A2:A18, 전체!C2:C18, "없음")</f>
        <v>5.5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C5E7A4-759F-4FA1-9198-00B963362FC6}">
          <x14:formula1>
            <xm:f>전체!$A$2:$A$18</xm:f>
          </x14:formula1>
          <xm:sqref>B1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3EB-AB21-4500-81FC-CDB3C5446BA6}">
  <dimension ref="A1:F35"/>
  <sheetViews>
    <sheetView workbookViewId="0">
      <selection activeCell="A3" sqref="A3:C5"/>
    </sheetView>
  </sheetViews>
  <sheetFormatPr defaultRowHeight="16.5" x14ac:dyDescent="0.3"/>
  <cols>
    <col min="2" max="2" width="80.125" customWidth="1"/>
    <col min="3" max="3" width="9" style="40"/>
  </cols>
  <sheetData>
    <row r="1" spans="1:6" ht="21" thickBot="1" x14ac:dyDescent="0.35">
      <c r="A1" s="28"/>
      <c r="B1" s="29" t="s">
        <v>32</v>
      </c>
      <c r="C1" s="32"/>
    </row>
    <row r="2" spans="1:6" ht="17.25" thickBot="1" x14ac:dyDescent="0.35">
      <c r="A2" s="43" t="s">
        <v>50</v>
      </c>
      <c r="B2" s="44" t="s">
        <v>51</v>
      </c>
      <c r="C2" s="45" t="s">
        <v>52</v>
      </c>
    </row>
    <row r="3" spans="1:6" x14ac:dyDescent="0.3">
      <c r="A3" s="23">
        <v>1</v>
      </c>
      <c r="B3" s="20" t="s">
        <v>130</v>
      </c>
      <c r="C3" s="34">
        <v>0.1</v>
      </c>
    </row>
    <row r="4" spans="1:6" x14ac:dyDescent="0.3">
      <c r="A4" s="16">
        <v>2</v>
      </c>
      <c r="B4" s="17" t="s">
        <v>128</v>
      </c>
      <c r="C4" s="35">
        <v>0.1</v>
      </c>
    </row>
    <row r="5" spans="1:6" x14ac:dyDescent="0.3">
      <c r="A5" s="16">
        <v>3</v>
      </c>
      <c r="B5" s="25" t="s">
        <v>129</v>
      </c>
      <c r="C5" s="35">
        <v>0.8</v>
      </c>
    </row>
    <row r="6" spans="1:6" x14ac:dyDescent="0.3">
      <c r="A6" s="16">
        <v>4</v>
      </c>
      <c r="B6" s="17"/>
      <c r="C6" s="35"/>
    </row>
    <row r="7" spans="1:6" x14ac:dyDescent="0.3">
      <c r="A7" s="16">
        <v>5</v>
      </c>
      <c r="B7" s="17"/>
      <c r="C7" s="36"/>
    </row>
    <row r="8" spans="1:6" x14ac:dyDescent="0.3">
      <c r="A8" s="16">
        <v>6</v>
      </c>
      <c r="B8" s="17"/>
      <c r="C8" s="36"/>
    </row>
    <row r="9" spans="1:6" x14ac:dyDescent="0.3">
      <c r="A9" s="16">
        <v>7</v>
      </c>
      <c r="B9" s="17"/>
      <c r="C9" s="36"/>
    </row>
    <row r="10" spans="1:6" x14ac:dyDescent="0.3">
      <c r="A10" s="16">
        <v>8</v>
      </c>
      <c r="B10" s="17"/>
      <c r="C10" s="36"/>
    </row>
    <row r="11" spans="1:6" x14ac:dyDescent="0.3">
      <c r="A11" s="22">
        <v>9</v>
      </c>
      <c r="B11" s="1"/>
      <c r="C11" s="37"/>
    </row>
    <row r="12" spans="1:6" x14ac:dyDescent="0.3">
      <c r="A12" s="16">
        <v>10</v>
      </c>
      <c r="B12" s="1"/>
      <c r="C12" s="37"/>
    </row>
    <row r="13" spans="1:6" x14ac:dyDescent="0.3">
      <c r="A13" s="16">
        <v>11</v>
      </c>
      <c r="B13" s="1"/>
      <c r="C13" s="37"/>
    </row>
    <row r="14" spans="1:6" x14ac:dyDescent="0.3">
      <c r="A14" s="16">
        <v>12</v>
      </c>
      <c r="B14" s="1"/>
      <c r="C14" s="37"/>
    </row>
    <row r="15" spans="1:6" x14ac:dyDescent="0.3">
      <c r="A15" s="16">
        <v>13</v>
      </c>
      <c r="B15" s="1"/>
      <c r="C15" s="37"/>
      <c r="F15" s="40"/>
    </row>
    <row r="16" spans="1:6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46" t="s">
        <v>48</v>
      </c>
      <c r="B33" s="1"/>
      <c r="C33" s="37">
        <f>SUM(C3:C32)</f>
        <v>1</v>
      </c>
    </row>
    <row r="34" spans="1:3" x14ac:dyDescent="0.3">
      <c r="A34" s="21" t="s">
        <v>53</v>
      </c>
      <c r="B34" s="1"/>
      <c r="C34" s="37">
        <f>_xlfn.XLOOKUP(B1, 전체!A2:A18, 전체!C2:C18, "없음")</f>
        <v>1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735C0C-4839-4B6C-9F59-E65A877AD089}">
          <x14:formula1>
            <xm:f>전체!$A$2:$A$18</xm:f>
          </x14:formula1>
          <xm:sqref>B1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D0B4-8BEC-442C-98E5-FB0EC6742BC9}">
  <dimension ref="A1:C35"/>
  <sheetViews>
    <sheetView workbookViewId="0">
      <selection activeCell="A3" sqref="A3:C5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20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0.1</v>
      </c>
    </row>
    <row r="4" spans="1:3" x14ac:dyDescent="0.3">
      <c r="A4" s="16">
        <v>2</v>
      </c>
      <c r="B4" s="25" t="s">
        <v>134</v>
      </c>
      <c r="C4" s="35">
        <v>0.1</v>
      </c>
    </row>
    <row r="5" spans="1:3" x14ac:dyDescent="0.3">
      <c r="A5" s="16">
        <v>3</v>
      </c>
      <c r="B5" s="17" t="s">
        <v>135</v>
      </c>
      <c r="C5" s="35">
        <v>0.3</v>
      </c>
    </row>
    <row r="6" spans="1:3" x14ac:dyDescent="0.3">
      <c r="A6" s="16">
        <v>4</v>
      </c>
      <c r="B6" s="17"/>
      <c r="C6" s="35"/>
    </row>
    <row r="7" spans="1:3" x14ac:dyDescent="0.3">
      <c r="A7" s="16">
        <v>5</v>
      </c>
      <c r="B7" s="17"/>
      <c r="C7" s="36"/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0.5</v>
      </c>
    </row>
    <row r="34" spans="1:3" x14ac:dyDescent="0.3">
      <c r="A34" s="21" t="s">
        <v>53</v>
      </c>
      <c r="B34" s="1"/>
      <c r="C34" s="37">
        <f>_xlfn.XLOOKUP(B1, 전체!A2:A18, 전체!C2:C18, "없음")</f>
        <v>0.5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2A2F03-3C07-4A4E-BFEB-ECCFB3A80A0E}">
          <x14:formula1>
            <xm:f>전체!$A$2:$A$18</xm:f>
          </x14:formula1>
          <xm:sqref>B1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5369-25CB-4F98-918F-6819C7403884}">
  <dimension ref="A1:C35"/>
  <sheetViews>
    <sheetView workbookViewId="0">
      <selection activeCell="A3" sqref="A3:C5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24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0.2</v>
      </c>
    </row>
    <row r="4" spans="1:3" x14ac:dyDescent="0.3">
      <c r="A4" s="16">
        <v>2</v>
      </c>
      <c r="B4" s="17" t="s">
        <v>74</v>
      </c>
      <c r="C4" s="35">
        <v>0.1</v>
      </c>
    </row>
    <row r="5" spans="1:3" x14ac:dyDescent="0.3">
      <c r="A5" s="16">
        <v>3</v>
      </c>
      <c r="B5" s="25" t="s">
        <v>136</v>
      </c>
      <c r="C5" s="35">
        <v>0.4</v>
      </c>
    </row>
    <row r="6" spans="1:3" x14ac:dyDescent="0.3">
      <c r="A6" s="16">
        <v>4</v>
      </c>
      <c r="B6" s="17"/>
      <c r="C6" s="35"/>
    </row>
    <row r="7" spans="1:3" x14ac:dyDescent="0.3">
      <c r="A7" s="16">
        <v>5</v>
      </c>
      <c r="B7" s="17"/>
      <c r="C7" s="36"/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0.70000000000000007</v>
      </c>
    </row>
    <row r="34" spans="1:3" x14ac:dyDescent="0.3">
      <c r="A34" s="21" t="s">
        <v>53</v>
      </c>
      <c r="B34" s="1"/>
      <c r="C34" s="37">
        <f>_xlfn.XLOOKUP(B1, 전체!A2:A18, 전체!C2:C18, "없음")</f>
        <v>0.7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270175-681E-415E-ABCF-94B6AED3E4BD}">
          <x14:formula1>
            <xm:f>전체!$A$2:$A$18</xm:f>
          </x14:formula1>
          <xm:sqref>B1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858B-E5FE-420B-9F36-64EF65276902}">
  <dimension ref="A1:C35"/>
  <sheetViews>
    <sheetView workbookViewId="0">
      <selection activeCell="A3" sqref="A3:C4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26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0.3</v>
      </c>
    </row>
    <row r="4" spans="1:3" x14ac:dyDescent="0.3">
      <c r="A4" s="16">
        <v>2</v>
      </c>
      <c r="B4" s="25" t="s">
        <v>137</v>
      </c>
      <c r="C4" s="35">
        <v>0.3</v>
      </c>
    </row>
    <row r="5" spans="1:3" x14ac:dyDescent="0.3">
      <c r="A5" s="16">
        <v>3</v>
      </c>
      <c r="B5" s="17"/>
      <c r="C5" s="35"/>
    </row>
    <row r="6" spans="1:3" x14ac:dyDescent="0.3">
      <c r="A6" s="16">
        <v>4</v>
      </c>
      <c r="B6" s="17"/>
      <c r="C6" s="35"/>
    </row>
    <row r="7" spans="1:3" x14ac:dyDescent="0.3">
      <c r="A7" s="16">
        <v>5</v>
      </c>
      <c r="B7" s="17"/>
      <c r="C7" s="36"/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0.6</v>
      </c>
    </row>
    <row r="34" spans="1:3" x14ac:dyDescent="0.3">
      <c r="A34" s="21" t="s">
        <v>53</v>
      </c>
      <c r="B34" s="1"/>
      <c r="C34" s="37">
        <f>_xlfn.XLOOKUP(B1, 전체!A2:A18, 전체!C2:C18, "없음")</f>
        <v>0.6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8AAE7D-D135-409C-89B6-A806FD8DE3F0}">
          <x14:formula1>
            <xm:f>전체!$A$2:$A$18</xm:f>
          </x14:formula1>
          <xm:sqref>B1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B39E-7A75-4469-8C6A-65101BC2D3ED}">
  <dimension ref="A1:C35"/>
  <sheetViews>
    <sheetView workbookViewId="0">
      <selection activeCell="A3" sqref="A3:C8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138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0.2</v>
      </c>
    </row>
    <row r="4" spans="1:3" x14ac:dyDescent="0.3">
      <c r="A4" s="16">
        <v>2</v>
      </c>
      <c r="B4" s="17" t="s">
        <v>74</v>
      </c>
      <c r="C4" s="35">
        <v>0.1</v>
      </c>
    </row>
    <row r="5" spans="1:3" x14ac:dyDescent="0.3">
      <c r="A5" s="16">
        <v>3</v>
      </c>
      <c r="B5" s="25" t="s">
        <v>141</v>
      </c>
      <c r="C5" s="35">
        <v>0.2</v>
      </c>
    </row>
    <row r="6" spans="1:3" x14ac:dyDescent="0.3">
      <c r="A6" s="16">
        <v>4</v>
      </c>
      <c r="B6" s="17" t="s">
        <v>139</v>
      </c>
      <c r="C6" s="35">
        <v>0.3</v>
      </c>
    </row>
    <row r="7" spans="1:3" x14ac:dyDescent="0.3">
      <c r="A7" s="16">
        <v>5</v>
      </c>
      <c r="B7" s="17" t="s">
        <v>140</v>
      </c>
      <c r="C7" s="35">
        <v>0.1</v>
      </c>
    </row>
    <row r="8" spans="1:3" x14ac:dyDescent="0.3">
      <c r="A8" s="16">
        <v>6</v>
      </c>
      <c r="B8" s="17" t="s">
        <v>142</v>
      </c>
      <c r="C8" s="36">
        <v>0.1</v>
      </c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1</v>
      </c>
    </row>
    <row r="34" spans="1:3" x14ac:dyDescent="0.3">
      <c r="A34" s="21" t="s">
        <v>53</v>
      </c>
      <c r="B34" s="1"/>
      <c r="C34" s="37">
        <f>_xlfn.XLOOKUP(B1, 전체!A2:A18, 전체!C2:C18, "없음")</f>
        <v>1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C96DA3-90DF-48B9-87F5-8794FF53DFA5}">
          <x14:formula1>
            <xm:f>전체!$A$2:$A$18</xm:f>
          </x14:formula1>
          <xm:sqref>B1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08AA-94D9-4EEC-9DD7-33D879F0EB5E}">
  <dimension ref="A1:C35"/>
  <sheetViews>
    <sheetView workbookViewId="0">
      <selection activeCell="A3" sqref="A3:C7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143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0.3</v>
      </c>
    </row>
    <row r="4" spans="1:3" x14ac:dyDescent="0.3">
      <c r="A4" s="16">
        <v>2</v>
      </c>
      <c r="B4" s="25" t="s">
        <v>63</v>
      </c>
      <c r="C4" s="35">
        <v>0.2</v>
      </c>
    </row>
    <row r="5" spans="1:3" x14ac:dyDescent="0.3">
      <c r="A5" s="16">
        <v>3</v>
      </c>
      <c r="B5" s="17" t="s">
        <v>144</v>
      </c>
      <c r="C5" s="35">
        <v>0.1</v>
      </c>
    </row>
    <row r="6" spans="1:3" x14ac:dyDescent="0.3">
      <c r="A6" s="16">
        <v>4</v>
      </c>
      <c r="B6" s="17" t="s">
        <v>145</v>
      </c>
      <c r="C6" s="35">
        <v>0.3</v>
      </c>
    </row>
    <row r="7" spans="1:3" x14ac:dyDescent="0.3">
      <c r="A7" s="16">
        <v>5</v>
      </c>
      <c r="B7" s="17" t="s">
        <v>146</v>
      </c>
      <c r="C7" s="36">
        <v>0.1</v>
      </c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0.99999999999999989</v>
      </c>
    </row>
    <row r="34" spans="1:3" x14ac:dyDescent="0.3">
      <c r="A34" s="21" t="s">
        <v>53</v>
      </c>
      <c r="B34" s="1"/>
      <c r="C34" s="37">
        <f>_xlfn.XLOOKUP(B1, 전체!A2:A18, 전체!C2:C18, "없음")</f>
        <v>1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D93545-0FCB-40B7-BB1D-4D1F071DF36D}">
          <x14:formula1>
            <xm:f>전체!$A$2:$A$18</xm:f>
          </x14:formula1>
          <xm:sqref>B1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EC2D-EF64-44C3-9465-26CBEB968008}">
  <dimension ref="A1:C35"/>
  <sheetViews>
    <sheetView workbookViewId="0">
      <selection activeCell="A3" sqref="A3:C8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30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0.2</v>
      </c>
    </row>
    <row r="4" spans="1:3" x14ac:dyDescent="0.3">
      <c r="A4" s="16">
        <v>2</v>
      </c>
      <c r="B4" s="17" t="s">
        <v>74</v>
      </c>
      <c r="C4" s="35">
        <v>0.1</v>
      </c>
    </row>
    <row r="5" spans="1:3" x14ac:dyDescent="0.3">
      <c r="A5" s="16">
        <v>3</v>
      </c>
      <c r="B5" s="17" t="s">
        <v>147</v>
      </c>
      <c r="C5" s="35">
        <v>0.2</v>
      </c>
    </row>
    <row r="6" spans="1:3" x14ac:dyDescent="0.3">
      <c r="A6" s="16">
        <v>4</v>
      </c>
      <c r="B6" s="17" t="s">
        <v>148</v>
      </c>
      <c r="C6" s="35">
        <v>0.3</v>
      </c>
    </row>
    <row r="7" spans="1:3" x14ac:dyDescent="0.3">
      <c r="A7" s="16">
        <v>5</v>
      </c>
      <c r="B7" s="17" t="s">
        <v>149</v>
      </c>
      <c r="C7" s="36">
        <v>0.1</v>
      </c>
    </row>
    <row r="8" spans="1:3" x14ac:dyDescent="0.3">
      <c r="A8" s="16">
        <v>6</v>
      </c>
      <c r="B8" s="17" t="s">
        <v>150</v>
      </c>
      <c r="C8" s="36">
        <v>0.3</v>
      </c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1.2</v>
      </c>
    </row>
    <row r="34" spans="1:3" x14ac:dyDescent="0.3">
      <c r="A34" s="21" t="s">
        <v>53</v>
      </c>
      <c r="B34" s="1"/>
      <c r="C34" s="37">
        <f>_xlfn.XLOOKUP(B1, 전체!A2:A18, 전체!C2:C18, "없음")</f>
        <v>1.2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3DECBA-DE1B-4691-8706-1890B150AFE4}">
          <x14:formula1>
            <xm:f>전체!$A$2:$A$18</xm:f>
          </x14:formula1>
          <xm:sqref>B1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4DBA-B90C-4184-922E-B38370B089FB}">
  <dimension ref="A1:C35"/>
  <sheetViews>
    <sheetView zoomScaleNormal="100" workbookViewId="0">
      <selection activeCell="A3" sqref="A3:C6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22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133</v>
      </c>
      <c r="C3" s="34">
        <v>0.2</v>
      </c>
    </row>
    <row r="4" spans="1:3" x14ac:dyDescent="0.3">
      <c r="A4" s="16">
        <v>2</v>
      </c>
      <c r="B4" s="25" t="s">
        <v>151</v>
      </c>
      <c r="C4" s="35">
        <v>0.1</v>
      </c>
    </row>
    <row r="5" spans="1:3" x14ac:dyDescent="0.3">
      <c r="A5" s="16">
        <v>3</v>
      </c>
      <c r="B5" s="17" t="s">
        <v>152</v>
      </c>
      <c r="C5" s="35">
        <v>0.2</v>
      </c>
    </row>
    <row r="6" spans="1:3" x14ac:dyDescent="0.3">
      <c r="A6" s="16">
        <v>4</v>
      </c>
      <c r="B6" s="47" t="s">
        <v>153</v>
      </c>
      <c r="C6" s="35">
        <v>0.1</v>
      </c>
    </row>
    <row r="7" spans="1:3" x14ac:dyDescent="0.3">
      <c r="A7" s="16">
        <v>5</v>
      </c>
      <c r="B7" s="17"/>
      <c r="C7" s="36"/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0.6</v>
      </c>
    </row>
    <row r="34" spans="1:3" x14ac:dyDescent="0.3">
      <c r="A34" s="21" t="s">
        <v>53</v>
      </c>
      <c r="B34" s="1"/>
      <c r="C34" s="37">
        <f>_xlfn.XLOOKUP(B1, 전체!A2:A18, 전체!C2:C18, "없음")</f>
        <v>0.6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08694E-1CFC-4E3E-981A-931E0C38B062}">
          <x14:formula1>
            <xm:f>전체!$A$2:$A$18</xm:f>
          </x14:formula1>
          <xm:sqref>B1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2FE9-D930-40DE-BF82-6704C84AC0E1}">
  <dimension ref="A1:C35"/>
  <sheetViews>
    <sheetView workbookViewId="0">
      <selection activeCell="A3" sqref="A3:C7"/>
    </sheetView>
  </sheetViews>
  <sheetFormatPr defaultRowHeight="16.5" x14ac:dyDescent="0.3"/>
  <cols>
    <col min="2" max="2" width="80.125" customWidth="1"/>
    <col min="3" max="3" width="9" style="40"/>
  </cols>
  <sheetData>
    <row r="1" spans="1:3" ht="21" thickBot="1" x14ac:dyDescent="0.35">
      <c r="A1" s="28"/>
      <c r="B1" s="29" t="s">
        <v>157</v>
      </c>
      <c r="C1" s="32"/>
    </row>
    <row r="2" spans="1:3" ht="17.25" thickBot="1" x14ac:dyDescent="0.35">
      <c r="A2" s="14" t="s">
        <v>50</v>
      </c>
      <c r="B2" s="15" t="s">
        <v>51</v>
      </c>
      <c r="C2" s="33" t="s">
        <v>52</v>
      </c>
    </row>
    <row r="3" spans="1:3" x14ac:dyDescent="0.3">
      <c r="A3" s="23">
        <v>1</v>
      </c>
      <c r="B3" s="24" t="s">
        <v>130</v>
      </c>
      <c r="C3" s="34">
        <v>0.2</v>
      </c>
    </row>
    <row r="4" spans="1:3" x14ac:dyDescent="0.3">
      <c r="A4" s="16">
        <v>2</v>
      </c>
      <c r="B4" s="25" t="s">
        <v>160</v>
      </c>
      <c r="C4" s="35">
        <v>0.2</v>
      </c>
    </row>
    <row r="5" spans="1:3" x14ac:dyDescent="0.3">
      <c r="A5" s="16">
        <v>3</v>
      </c>
      <c r="B5" s="17" t="s">
        <v>161</v>
      </c>
      <c r="C5" s="35">
        <v>0.1</v>
      </c>
    </row>
    <row r="6" spans="1:3" x14ac:dyDescent="0.3">
      <c r="A6" s="16">
        <v>4</v>
      </c>
      <c r="B6" s="17" t="s">
        <v>162</v>
      </c>
      <c r="C6" s="35">
        <v>0.1</v>
      </c>
    </row>
    <row r="7" spans="1:3" x14ac:dyDescent="0.3">
      <c r="A7" s="16">
        <v>5</v>
      </c>
      <c r="B7" s="17" t="s">
        <v>163</v>
      </c>
      <c r="C7" s="36">
        <v>0.2</v>
      </c>
    </row>
    <row r="8" spans="1:3" x14ac:dyDescent="0.3">
      <c r="A8" s="16">
        <v>6</v>
      </c>
      <c r="B8" s="17"/>
      <c r="C8" s="36"/>
    </row>
    <row r="9" spans="1:3" x14ac:dyDescent="0.3">
      <c r="A9" s="16">
        <v>7</v>
      </c>
      <c r="B9" s="17"/>
      <c r="C9" s="36"/>
    </row>
    <row r="10" spans="1:3" x14ac:dyDescent="0.3">
      <c r="A10" s="16">
        <v>8</v>
      </c>
      <c r="B10" s="17"/>
      <c r="C10" s="36"/>
    </row>
    <row r="11" spans="1:3" x14ac:dyDescent="0.3">
      <c r="A11" s="22">
        <v>9</v>
      </c>
      <c r="B11" s="1"/>
      <c r="C11" s="37"/>
    </row>
    <row r="12" spans="1:3" x14ac:dyDescent="0.3">
      <c r="A12" s="16">
        <v>10</v>
      </c>
      <c r="B12" s="1"/>
      <c r="C12" s="37"/>
    </row>
    <row r="13" spans="1:3" x14ac:dyDescent="0.3">
      <c r="A13" s="16">
        <v>11</v>
      </c>
      <c r="B13" s="1"/>
      <c r="C13" s="37"/>
    </row>
    <row r="14" spans="1:3" x14ac:dyDescent="0.3">
      <c r="A14" s="16">
        <v>12</v>
      </c>
      <c r="B14" s="1"/>
      <c r="C14" s="37"/>
    </row>
    <row r="15" spans="1:3" x14ac:dyDescent="0.3">
      <c r="A15" s="16">
        <v>13</v>
      </c>
      <c r="B15" s="1"/>
      <c r="C15" s="37"/>
    </row>
    <row r="16" spans="1:3" x14ac:dyDescent="0.3">
      <c r="A16" s="16">
        <v>14</v>
      </c>
      <c r="B16" s="1"/>
      <c r="C16" s="37"/>
    </row>
    <row r="17" spans="1:3" x14ac:dyDescent="0.3">
      <c r="A17" s="16">
        <v>15</v>
      </c>
      <c r="B17" s="1"/>
      <c r="C17" s="37"/>
    </row>
    <row r="18" spans="1:3" x14ac:dyDescent="0.3">
      <c r="A18" s="16">
        <v>16</v>
      </c>
      <c r="B18" s="1"/>
      <c r="C18" s="37"/>
    </row>
    <row r="19" spans="1:3" x14ac:dyDescent="0.3">
      <c r="A19" s="16">
        <v>17</v>
      </c>
      <c r="B19" s="1"/>
      <c r="C19" s="37"/>
    </row>
    <row r="20" spans="1:3" x14ac:dyDescent="0.3">
      <c r="A20" s="22">
        <v>18</v>
      </c>
      <c r="B20" s="1"/>
      <c r="C20" s="37"/>
    </row>
    <row r="21" spans="1:3" x14ac:dyDescent="0.3">
      <c r="A21" s="16">
        <v>19</v>
      </c>
      <c r="B21" s="1"/>
      <c r="C21" s="37"/>
    </row>
    <row r="22" spans="1:3" x14ac:dyDescent="0.3">
      <c r="A22" s="16">
        <v>20</v>
      </c>
      <c r="B22" s="1"/>
      <c r="C22" s="37"/>
    </row>
    <row r="23" spans="1:3" x14ac:dyDescent="0.3">
      <c r="A23" s="16">
        <v>21</v>
      </c>
      <c r="B23" s="1"/>
      <c r="C23" s="37"/>
    </row>
    <row r="24" spans="1:3" x14ac:dyDescent="0.3">
      <c r="A24" s="16">
        <v>22</v>
      </c>
      <c r="B24" s="1"/>
      <c r="C24" s="37"/>
    </row>
    <row r="25" spans="1:3" x14ac:dyDescent="0.3">
      <c r="A25" s="16">
        <v>23</v>
      </c>
      <c r="B25" s="1"/>
      <c r="C25" s="37"/>
    </row>
    <row r="26" spans="1:3" x14ac:dyDescent="0.3">
      <c r="A26" s="16">
        <v>24</v>
      </c>
      <c r="B26" s="1"/>
      <c r="C26" s="37"/>
    </row>
    <row r="27" spans="1:3" x14ac:dyDescent="0.3">
      <c r="A27" s="16">
        <v>25</v>
      </c>
      <c r="B27" s="1"/>
      <c r="C27" s="37"/>
    </row>
    <row r="28" spans="1:3" x14ac:dyDescent="0.3">
      <c r="A28" s="16">
        <v>26</v>
      </c>
      <c r="B28" s="1"/>
      <c r="C28" s="37"/>
    </row>
    <row r="29" spans="1:3" x14ac:dyDescent="0.3">
      <c r="A29" s="22">
        <v>27</v>
      </c>
      <c r="B29" s="1"/>
      <c r="C29" s="37"/>
    </row>
    <row r="30" spans="1:3" x14ac:dyDescent="0.3">
      <c r="A30" s="16">
        <v>28</v>
      </c>
      <c r="B30" s="1"/>
      <c r="C30" s="37"/>
    </row>
    <row r="31" spans="1:3" x14ac:dyDescent="0.3">
      <c r="A31" s="16">
        <v>29</v>
      </c>
      <c r="B31" s="1"/>
      <c r="C31" s="37"/>
    </row>
    <row r="32" spans="1:3" ht="17.25" thickBot="1" x14ac:dyDescent="0.35">
      <c r="A32" s="26">
        <v>30</v>
      </c>
      <c r="B32" s="3"/>
      <c r="C32" s="38"/>
    </row>
    <row r="33" spans="1:3" x14ac:dyDescent="0.3">
      <c r="A33" s="19" t="s">
        <v>48</v>
      </c>
      <c r="B33" s="20"/>
      <c r="C33" s="39">
        <f>SUM(C3:C32)</f>
        <v>0.8</v>
      </c>
    </row>
    <row r="34" spans="1:3" x14ac:dyDescent="0.3">
      <c r="A34" s="21" t="s">
        <v>53</v>
      </c>
      <c r="B34" s="1"/>
      <c r="C34" s="37">
        <f>_xlfn.XLOOKUP(B1, 전체!A2:A19, 전체!C2:C19, "없음")</f>
        <v>0.8</v>
      </c>
    </row>
    <row r="35" spans="1:3" ht="17.25" thickBot="1" x14ac:dyDescent="0.35">
      <c r="A35" s="18" t="s">
        <v>35</v>
      </c>
      <c r="B35" s="3"/>
      <c r="C35" s="38">
        <f>C34-C33</f>
        <v>0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2798DB-8D92-413A-8350-4368836FF3E6}">
          <x14:formula1>
            <xm:f>전체!$A$2:$A$19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형식</vt:lpstr>
      <vt:lpstr>전체</vt:lpstr>
      <vt:lpstr>공통조건</vt:lpstr>
      <vt:lpstr>로그인</vt:lpstr>
      <vt:lpstr>잠금모드</vt:lpstr>
      <vt:lpstr>메인</vt:lpstr>
      <vt:lpstr>친구</vt:lpstr>
      <vt:lpstr>친구추가</vt:lpstr>
      <vt:lpstr>프로필</vt:lpstr>
      <vt:lpstr>프로필 수정</vt:lpstr>
      <vt:lpstr>채팅</vt:lpstr>
      <vt:lpstr>채팅방</vt:lpstr>
      <vt:lpstr>Tell 뷰어</vt:lpstr>
      <vt:lpstr>메세지 수정</vt:lpstr>
      <vt:lpstr>더보기</vt:lpstr>
      <vt:lpstr>설정</vt:lpstr>
      <vt:lpstr>설정 보안</vt:lpstr>
      <vt:lpstr>잠금모드 암호 설정</vt:lpstr>
      <vt:lpstr>설정 채팅방</vt:lpstr>
      <vt:lpstr>알람</vt:lpstr>
      <vt:lpstr>이모티콘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백민 지</dc:creator>
  <cp:lastModifiedBy>백민 지</cp:lastModifiedBy>
  <dcterms:created xsi:type="dcterms:W3CDTF">2025-06-05T07:56:05Z</dcterms:created>
  <dcterms:modified xsi:type="dcterms:W3CDTF">2025-06-20T04:39:00Z</dcterms:modified>
</cp:coreProperties>
</file>