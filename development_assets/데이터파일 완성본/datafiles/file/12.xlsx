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데이터파일\sql 구조\chat\file\"/>
    </mc:Choice>
  </mc:AlternateContent>
  <xr:revisionPtr revIDLastSave="0" documentId="13_ncr:1_{0E3FA3A0-5B03-4F82-A38F-31322671DC86}" xr6:coauthVersionLast="47" xr6:coauthVersionMax="47" xr10:uidLastSave="{00000000-0000-0000-0000-000000000000}"/>
  <bookViews>
    <workbookView xWindow="-120" yWindow="-120" windowWidth="29040" windowHeight="15720" xr2:uid="{BB297E4E-1C96-46F5-878A-E3982EA4D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2" i="1" l="1"/>
  <c r="J112" i="1" s="1"/>
  <c r="H112" i="1"/>
  <c r="D112" i="1"/>
  <c r="I111" i="1"/>
  <c r="J111" i="1" s="1"/>
  <c r="H111" i="1"/>
  <c r="D111" i="1"/>
  <c r="J110" i="1"/>
  <c r="I110" i="1"/>
  <c r="H110" i="1"/>
  <c r="D110" i="1"/>
  <c r="I109" i="1"/>
  <c r="J109" i="1" s="1"/>
  <c r="H109" i="1"/>
  <c r="D109" i="1"/>
  <c r="I108" i="1"/>
  <c r="J108" i="1" s="1"/>
  <c r="H108" i="1"/>
  <c r="D108" i="1"/>
  <c r="I107" i="1"/>
  <c r="J107" i="1" s="1"/>
  <c r="H107" i="1"/>
  <c r="D107" i="1"/>
  <c r="I106" i="1"/>
  <c r="J106" i="1" s="1"/>
  <c r="H106" i="1"/>
  <c r="D106" i="1"/>
  <c r="J105" i="1"/>
  <c r="I105" i="1"/>
  <c r="H105" i="1"/>
  <c r="D105" i="1"/>
  <c r="I104" i="1"/>
  <c r="J104" i="1" s="1"/>
  <c r="H104" i="1"/>
  <c r="D104" i="1"/>
  <c r="I103" i="1"/>
  <c r="J103" i="1" s="1"/>
  <c r="H103" i="1"/>
  <c r="D103" i="1"/>
  <c r="I102" i="1"/>
  <c r="J102" i="1" s="1"/>
  <c r="H102" i="1"/>
  <c r="D102" i="1"/>
  <c r="I101" i="1"/>
  <c r="J101" i="1" s="1"/>
  <c r="H101" i="1"/>
  <c r="D101" i="1"/>
  <c r="J100" i="1"/>
  <c r="I100" i="1"/>
  <c r="H100" i="1"/>
  <c r="D100" i="1"/>
  <c r="I99" i="1"/>
  <c r="J99" i="1" s="1"/>
  <c r="H99" i="1"/>
  <c r="D99" i="1"/>
  <c r="I98" i="1"/>
  <c r="J98" i="1" s="1"/>
  <c r="H98" i="1"/>
  <c r="D98" i="1"/>
  <c r="I97" i="1"/>
  <c r="J97" i="1" s="1"/>
  <c r="H97" i="1"/>
  <c r="D97" i="1"/>
  <c r="I96" i="1"/>
  <c r="J96" i="1" s="1"/>
  <c r="H96" i="1"/>
  <c r="D96" i="1"/>
  <c r="J95" i="1"/>
  <c r="I95" i="1"/>
  <c r="H95" i="1"/>
  <c r="D95" i="1"/>
  <c r="I94" i="1"/>
  <c r="J94" i="1" s="1"/>
  <c r="H94" i="1"/>
  <c r="D94" i="1"/>
  <c r="I93" i="1"/>
  <c r="J93" i="1" s="1"/>
  <c r="H93" i="1"/>
  <c r="D93" i="1"/>
  <c r="I92" i="1"/>
  <c r="J92" i="1" s="1"/>
  <c r="H92" i="1"/>
  <c r="D92" i="1"/>
  <c r="I91" i="1"/>
  <c r="J91" i="1" s="1"/>
  <c r="H91" i="1"/>
  <c r="D91" i="1"/>
  <c r="J90" i="1"/>
  <c r="I90" i="1"/>
  <c r="H90" i="1"/>
  <c r="D90" i="1"/>
  <c r="I89" i="1"/>
  <c r="J89" i="1" s="1"/>
  <c r="H89" i="1"/>
  <c r="D89" i="1"/>
  <c r="I88" i="1"/>
  <c r="J88" i="1" s="1"/>
  <c r="H88" i="1"/>
  <c r="D88" i="1"/>
  <c r="I87" i="1"/>
  <c r="J87" i="1" s="1"/>
  <c r="H87" i="1"/>
  <c r="D87" i="1"/>
  <c r="I86" i="1"/>
  <c r="J86" i="1" s="1"/>
  <c r="H86" i="1"/>
  <c r="D86" i="1"/>
  <c r="J85" i="1"/>
  <c r="I85" i="1"/>
  <c r="H85" i="1"/>
  <c r="D85" i="1"/>
  <c r="I84" i="1"/>
  <c r="J84" i="1" s="1"/>
  <c r="H84" i="1"/>
  <c r="D84" i="1"/>
  <c r="I83" i="1"/>
  <c r="J83" i="1" s="1"/>
  <c r="H83" i="1"/>
  <c r="D83" i="1"/>
  <c r="I82" i="1"/>
  <c r="J82" i="1" s="1"/>
  <c r="H82" i="1"/>
  <c r="D82" i="1"/>
  <c r="I81" i="1"/>
  <c r="J81" i="1" s="1"/>
  <c r="H81" i="1"/>
  <c r="D81" i="1"/>
  <c r="J80" i="1"/>
  <c r="I80" i="1"/>
  <c r="H80" i="1"/>
  <c r="D80" i="1"/>
  <c r="I79" i="1"/>
  <c r="J79" i="1" s="1"/>
  <c r="H79" i="1"/>
  <c r="D79" i="1"/>
  <c r="I78" i="1"/>
  <c r="J78" i="1" s="1"/>
  <c r="H78" i="1"/>
  <c r="D78" i="1"/>
  <c r="I77" i="1"/>
  <c r="J77" i="1" s="1"/>
  <c r="H77" i="1"/>
  <c r="D77" i="1"/>
  <c r="I76" i="1"/>
  <c r="J76" i="1" s="1"/>
  <c r="H76" i="1"/>
  <c r="D76" i="1"/>
  <c r="J75" i="1"/>
  <c r="I75" i="1"/>
  <c r="H75" i="1"/>
  <c r="D75" i="1"/>
  <c r="I74" i="1"/>
  <c r="J74" i="1" s="1"/>
  <c r="H74" i="1"/>
  <c r="D74" i="1"/>
  <c r="I73" i="1"/>
  <c r="J73" i="1" s="1"/>
  <c r="H73" i="1"/>
  <c r="D73" i="1"/>
  <c r="I72" i="1"/>
  <c r="J72" i="1" s="1"/>
  <c r="H72" i="1"/>
  <c r="D72" i="1"/>
  <c r="I71" i="1"/>
  <c r="J71" i="1" s="1"/>
  <c r="H71" i="1"/>
  <c r="D71" i="1"/>
  <c r="J70" i="1"/>
  <c r="I70" i="1"/>
  <c r="H70" i="1"/>
  <c r="D70" i="1"/>
  <c r="I69" i="1"/>
  <c r="J69" i="1" s="1"/>
  <c r="H69" i="1"/>
  <c r="D69" i="1"/>
  <c r="I68" i="1"/>
  <c r="J68" i="1" s="1"/>
  <c r="H68" i="1"/>
  <c r="D68" i="1"/>
  <c r="I67" i="1"/>
  <c r="J67" i="1" s="1"/>
  <c r="H67" i="1"/>
  <c r="D67" i="1"/>
  <c r="I66" i="1"/>
  <c r="J66" i="1" s="1"/>
  <c r="H66" i="1"/>
  <c r="D66" i="1"/>
  <c r="J65" i="1"/>
  <c r="I65" i="1"/>
  <c r="H65" i="1"/>
  <c r="D65" i="1"/>
  <c r="I64" i="1"/>
  <c r="J64" i="1" s="1"/>
  <c r="H64" i="1"/>
  <c r="D64" i="1"/>
  <c r="I63" i="1"/>
  <c r="J63" i="1" s="1"/>
  <c r="H63" i="1"/>
  <c r="D63" i="1"/>
  <c r="I62" i="1"/>
  <c r="J62" i="1" s="1"/>
  <c r="H62" i="1"/>
  <c r="D62" i="1"/>
  <c r="I61" i="1"/>
  <c r="J61" i="1" s="1"/>
  <c r="H61" i="1"/>
  <c r="D61" i="1"/>
  <c r="J60" i="1"/>
  <c r="I60" i="1"/>
  <c r="H60" i="1"/>
  <c r="D60" i="1"/>
  <c r="I59" i="1"/>
  <c r="J59" i="1" s="1"/>
  <c r="H59" i="1"/>
  <c r="D59" i="1"/>
  <c r="I58" i="1"/>
  <c r="J58" i="1" s="1"/>
  <c r="H58" i="1"/>
  <c r="D58" i="1"/>
  <c r="I57" i="1"/>
  <c r="J57" i="1" s="1"/>
  <c r="H57" i="1"/>
  <c r="D57" i="1"/>
  <c r="I56" i="1"/>
  <c r="J56" i="1" s="1"/>
  <c r="H56" i="1"/>
  <c r="D56" i="1"/>
  <c r="J55" i="1"/>
  <c r="I55" i="1"/>
  <c r="H55" i="1"/>
  <c r="D55" i="1"/>
  <c r="I54" i="1"/>
  <c r="J54" i="1" s="1"/>
  <c r="H54" i="1"/>
  <c r="D54" i="1"/>
  <c r="I53" i="1"/>
  <c r="J53" i="1" s="1"/>
  <c r="H53" i="1"/>
  <c r="D53" i="1"/>
  <c r="I52" i="1"/>
  <c r="J52" i="1" s="1"/>
  <c r="H52" i="1"/>
  <c r="D52" i="1"/>
  <c r="I51" i="1"/>
  <c r="J51" i="1" s="1"/>
  <c r="H51" i="1"/>
  <c r="D51" i="1"/>
  <c r="J50" i="1"/>
  <c r="I50" i="1"/>
  <c r="H50" i="1"/>
  <c r="D50" i="1"/>
  <c r="I49" i="1"/>
  <c r="J49" i="1" s="1"/>
  <c r="H49" i="1"/>
  <c r="D49" i="1"/>
  <c r="I48" i="1"/>
  <c r="J48" i="1" s="1"/>
  <c r="H48" i="1"/>
  <c r="D48" i="1"/>
  <c r="I47" i="1"/>
  <c r="J47" i="1" s="1"/>
  <c r="H47" i="1"/>
  <c r="D47" i="1"/>
  <c r="I46" i="1"/>
  <c r="J46" i="1" s="1"/>
  <c r="H46" i="1"/>
  <c r="D46" i="1"/>
  <c r="J45" i="1"/>
  <c r="I45" i="1"/>
  <c r="H45" i="1"/>
  <c r="D45" i="1"/>
  <c r="I44" i="1"/>
  <c r="J44" i="1" s="1"/>
  <c r="H44" i="1"/>
  <c r="D44" i="1"/>
  <c r="I43" i="1"/>
  <c r="J43" i="1" s="1"/>
  <c r="H43" i="1"/>
  <c r="D43" i="1"/>
  <c r="I42" i="1"/>
  <c r="J42" i="1" s="1"/>
  <c r="H42" i="1"/>
  <c r="D42" i="1"/>
  <c r="I41" i="1"/>
  <c r="J41" i="1" s="1"/>
  <c r="H41" i="1"/>
  <c r="D41" i="1"/>
  <c r="J40" i="1"/>
  <c r="I40" i="1"/>
  <c r="H40" i="1"/>
  <c r="D40" i="1"/>
  <c r="I39" i="1"/>
  <c r="J39" i="1" s="1"/>
  <c r="H39" i="1"/>
  <c r="D39" i="1"/>
  <c r="I38" i="1"/>
  <c r="J38" i="1" s="1"/>
  <c r="H38" i="1"/>
  <c r="D38" i="1"/>
  <c r="I37" i="1"/>
  <c r="J37" i="1" s="1"/>
  <c r="H37" i="1"/>
  <c r="D37" i="1"/>
  <c r="I36" i="1"/>
  <c r="J36" i="1" s="1"/>
  <c r="H36" i="1"/>
  <c r="D36" i="1"/>
  <c r="J35" i="1"/>
  <c r="I35" i="1"/>
  <c r="H35" i="1"/>
  <c r="D35" i="1"/>
  <c r="I34" i="1"/>
  <c r="J34" i="1" s="1"/>
  <c r="H34" i="1"/>
  <c r="D34" i="1"/>
  <c r="I33" i="1"/>
  <c r="J33" i="1" s="1"/>
  <c r="H33" i="1"/>
  <c r="D33" i="1"/>
  <c r="I32" i="1"/>
  <c r="J32" i="1" s="1"/>
  <c r="H32" i="1"/>
  <c r="D32" i="1"/>
  <c r="I31" i="1"/>
  <c r="J31" i="1" s="1"/>
  <c r="H31" i="1"/>
  <c r="D31" i="1"/>
  <c r="J30" i="1"/>
  <c r="I30" i="1"/>
  <c r="H30" i="1"/>
  <c r="D30" i="1"/>
  <c r="I29" i="1"/>
  <c r="J29" i="1" s="1"/>
  <c r="H29" i="1"/>
  <c r="D29" i="1"/>
  <c r="I28" i="1"/>
  <c r="J28" i="1" s="1"/>
  <c r="H28" i="1"/>
  <c r="D28" i="1"/>
  <c r="I27" i="1"/>
  <c r="J27" i="1" s="1"/>
  <c r="H27" i="1"/>
  <c r="D27" i="1"/>
  <c r="I26" i="1"/>
  <c r="J26" i="1" s="1"/>
  <c r="H26" i="1"/>
  <c r="D26" i="1"/>
  <c r="J25" i="1"/>
  <c r="I25" i="1"/>
  <c r="H25" i="1"/>
  <c r="D25" i="1"/>
  <c r="I24" i="1"/>
  <c r="J24" i="1" s="1"/>
  <c r="H24" i="1"/>
  <c r="D24" i="1"/>
  <c r="I23" i="1"/>
  <c r="J23" i="1" s="1"/>
  <c r="H23" i="1"/>
  <c r="D23" i="1"/>
  <c r="I22" i="1"/>
  <c r="J22" i="1" s="1"/>
  <c r="H22" i="1"/>
  <c r="D22" i="1"/>
  <c r="I21" i="1"/>
  <c r="J21" i="1" s="1"/>
  <c r="H21" i="1"/>
  <c r="D21" i="1"/>
  <c r="J20" i="1"/>
  <c r="I20" i="1"/>
  <c r="H20" i="1"/>
  <c r="D20" i="1"/>
  <c r="I19" i="1"/>
  <c r="J19" i="1" s="1"/>
  <c r="H19" i="1"/>
  <c r="D19" i="1"/>
  <c r="I18" i="1"/>
  <c r="J18" i="1" s="1"/>
  <c r="H18" i="1"/>
  <c r="D18" i="1"/>
  <c r="I17" i="1"/>
  <c r="J17" i="1" s="1"/>
  <c r="H17" i="1"/>
  <c r="D17" i="1"/>
  <c r="I16" i="1"/>
  <c r="J16" i="1" s="1"/>
  <c r="H16" i="1"/>
  <c r="D16" i="1"/>
  <c r="J15" i="1"/>
  <c r="I15" i="1"/>
  <c r="H15" i="1"/>
  <c r="D15" i="1"/>
  <c r="I14" i="1"/>
  <c r="J14" i="1" s="1"/>
  <c r="H14" i="1"/>
  <c r="D14" i="1"/>
  <c r="I13" i="1"/>
  <c r="J13" i="1" s="1"/>
  <c r="H13" i="1"/>
  <c r="D13" i="1"/>
  <c r="I12" i="1"/>
  <c r="J12" i="1" s="1"/>
  <c r="H12" i="1"/>
  <c r="D12" i="1"/>
  <c r="I11" i="1"/>
  <c r="J11" i="1" s="1"/>
  <c r="H11" i="1"/>
  <c r="D11" i="1"/>
  <c r="J10" i="1"/>
  <c r="I10" i="1"/>
  <c r="H10" i="1"/>
  <c r="D10" i="1"/>
  <c r="I9" i="1"/>
  <c r="J9" i="1" s="1"/>
  <c r="H9" i="1"/>
  <c r="D9" i="1"/>
  <c r="I8" i="1"/>
  <c r="J8" i="1" s="1"/>
  <c r="H8" i="1"/>
  <c r="D8" i="1"/>
  <c r="I7" i="1"/>
  <c r="J7" i="1" s="1"/>
  <c r="H7" i="1"/>
  <c r="D7" i="1"/>
  <c r="I6" i="1"/>
  <c r="J6" i="1" s="1"/>
  <c r="H6" i="1"/>
  <c r="D6" i="1"/>
  <c r="J5" i="1"/>
  <c r="I5" i="1"/>
  <c r="H5" i="1"/>
  <c r="D5" i="1"/>
  <c r="I4" i="1"/>
  <c r="J4" i="1" s="1"/>
  <c r="H4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박은정</author>
  </authors>
  <commentList>
    <comment ref="J3" authorId="0" shapeId="0" xr:uid="{A321EBDA-7E08-4E51-A306-C3CE19092EBC}">
      <text>
        <r>
          <rPr>
            <b/>
            <sz val="9"/>
            <color indexed="81"/>
            <rFont val="굴림"/>
            <family val="3"/>
            <charset val="129"/>
          </rPr>
          <t>박은정:</t>
        </r>
        <r>
          <rPr>
            <sz val="9"/>
            <color indexed="81"/>
            <rFont val="굴림"/>
            <family val="3"/>
            <charset val="129"/>
          </rPr>
          <t xml:space="preserve">
창-&gt;틀고정
   -&gt;나누기
   -&gt;정렬</t>
        </r>
      </text>
    </comment>
  </commentList>
</comments>
</file>

<file path=xl/sharedStrings.xml><?xml version="1.0" encoding="utf-8"?>
<sst xmlns="http://schemas.openxmlformats.org/spreadsheetml/2006/main" count="337" uniqueCount="132">
  <si>
    <t>사원급여명세표</t>
    <phoneticPr fontId="3" type="noConversion"/>
  </si>
  <si>
    <t>사원번호</t>
    <phoneticPr fontId="3" type="noConversion"/>
  </si>
  <si>
    <t>사원명</t>
    <phoneticPr fontId="3" type="noConversion"/>
  </si>
  <si>
    <t>부서</t>
    <phoneticPr fontId="3" type="noConversion"/>
  </si>
  <si>
    <t>직급</t>
    <phoneticPr fontId="3" type="noConversion"/>
  </si>
  <si>
    <t>기본급</t>
    <phoneticPr fontId="3" type="noConversion"/>
  </si>
  <si>
    <t>가족수</t>
    <phoneticPr fontId="3" type="noConversion"/>
  </si>
  <si>
    <t>업무수당</t>
    <phoneticPr fontId="3" type="noConversion"/>
  </si>
  <si>
    <t>가족수당</t>
    <phoneticPr fontId="3" type="noConversion"/>
  </si>
  <si>
    <t>급여액</t>
    <phoneticPr fontId="3" type="noConversion"/>
  </si>
  <si>
    <t>A1001</t>
    <phoneticPr fontId="3" type="noConversion"/>
  </si>
  <si>
    <t>김유신</t>
    <phoneticPr fontId="3" type="noConversion"/>
  </si>
  <si>
    <t>부장</t>
    <phoneticPr fontId="3" type="noConversion"/>
  </si>
  <si>
    <t>B1001</t>
    <phoneticPr fontId="3" type="noConversion"/>
  </si>
  <si>
    <t>이순신</t>
    <phoneticPr fontId="3" type="noConversion"/>
  </si>
  <si>
    <t>과장</t>
    <phoneticPr fontId="3" type="noConversion"/>
  </si>
  <si>
    <t>C1001</t>
    <phoneticPr fontId="3" type="noConversion"/>
  </si>
  <si>
    <t>한석봉</t>
    <phoneticPr fontId="3" type="noConversion"/>
  </si>
  <si>
    <t>A1002</t>
  </si>
  <si>
    <t>유관순</t>
    <phoneticPr fontId="3" type="noConversion"/>
  </si>
  <si>
    <t>대리</t>
    <phoneticPr fontId="3" type="noConversion"/>
  </si>
  <si>
    <t>B1002</t>
  </si>
  <si>
    <t>김미현</t>
    <phoneticPr fontId="3" type="noConversion"/>
  </si>
  <si>
    <t>C1002</t>
  </si>
  <si>
    <t>김정희</t>
    <phoneticPr fontId="3" type="noConversion"/>
  </si>
  <si>
    <t>사원</t>
    <phoneticPr fontId="3" type="noConversion"/>
  </si>
  <si>
    <t>A1003</t>
  </si>
  <si>
    <t>김홍도</t>
    <phoneticPr fontId="3" type="noConversion"/>
  </si>
  <si>
    <t>B1003</t>
  </si>
  <si>
    <t>한정연</t>
    <phoneticPr fontId="3" type="noConversion"/>
  </si>
  <si>
    <t>C1003</t>
  </si>
  <si>
    <t>홍길동</t>
    <phoneticPr fontId="3" type="noConversion"/>
  </si>
  <si>
    <t>A1004</t>
  </si>
  <si>
    <t>B1004</t>
  </si>
  <si>
    <t>C1004</t>
  </si>
  <si>
    <t>A1005</t>
  </si>
  <si>
    <t>B1005</t>
  </si>
  <si>
    <t>C1005</t>
  </si>
  <si>
    <t>A1006</t>
  </si>
  <si>
    <t>B1006</t>
  </si>
  <si>
    <t>C1006</t>
  </si>
  <si>
    <t>A1007</t>
  </si>
  <si>
    <t>B1007</t>
  </si>
  <si>
    <t>C1007</t>
  </si>
  <si>
    <t>A1008</t>
  </si>
  <si>
    <t>B1008</t>
  </si>
  <si>
    <t>C1008</t>
  </si>
  <si>
    <t>A1009</t>
  </si>
  <si>
    <t>B1009</t>
  </si>
  <si>
    <t>C1009</t>
  </si>
  <si>
    <t>A1010</t>
  </si>
  <si>
    <t>B1010</t>
  </si>
  <si>
    <t>C1010</t>
  </si>
  <si>
    <t>A1011</t>
  </si>
  <si>
    <t>B1011</t>
  </si>
  <si>
    <t>C1011</t>
  </si>
  <si>
    <t>A1012</t>
  </si>
  <si>
    <t>B1012</t>
  </si>
  <si>
    <t>C1012</t>
  </si>
  <si>
    <t>A1013</t>
  </si>
  <si>
    <t>B1013</t>
  </si>
  <si>
    <t>C1013</t>
  </si>
  <si>
    <t>A1014</t>
  </si>
  <si>
    <t>B1014</t>
  </si>
  <si>
    <t>C1014</t>
  </si>
  <si>
    <t>A1015</t>
  </si>
  <si>
    <t>B1015</t>
  </si>
  <si>
    <t>C1015</t>
  </si>
  <si>
    <t>A1016</t>
  </si>
  <si>
    <t>B1016</t>
  </si>
  <si>
    <t>C1016</t>
  </si>
  <si>
    <t>A1017</t>
  </si>
  <si>
    <t>B1017</t>
  </si>
  <si>
    <t>C1017</t>
  </si>
  <si>
    <t>A1018</t>
  </si>
  <si>
    <t>B1018</t>
  </si>
  <si>
    <t>C1018</t>
  </si>
  <si>
    <t>A1019</t>
  </si>
  <si>
    <t>B1019</t>
  </si>
  <si>
    <t>C1019</t>
  </si>
  <si>
    <t>A1020</t>
  </si>
  <si>
    <t>B1020</t>
  </si>
  <si>
    <t>C1020</t>
  </si>
  <si>
    <t>A1021</t>
  </si>
  <si>
    <t>B1021</t>
  </si>
  <si>
    <t>C1021</t>
  </si>
  <si>
    <t>A1022</t>
  </si>
  <si>
    <t>B1022</t>
  </si>
  <si>
    <t>C1022</t>
  </si>
  <si>
    <t>A1023</t>
  </si>
  <si>
    <t>B1023</t>
  </si>
  <si>
    <t>C1023</t>
  </si>
  <si>
    <t>A1024</t>
  </si>
  <si>
    <t>B1024</t>
  </si>
  <si>
    <t>C1024</t>
  </si>
  <si>
    <t>A1025</t>
  </si>
  <si>
    <t>B1025</t>
  </si>
  <si>
    <t>C1025</t>
  </si>
  <si>
    <t>A1026</t>
  </si>
  <si>
    <t>B1026</t>
  </si>
  <si>
    <t>C1026</t>
  </si>
  <si>
    <t>A1027</t>
  </si>
  <si>
    <t>B1027</t>
  </si>
  <si>
    <t>C1027</t>
  </si>
  <si>
    <t>A1028</t>
  </si>
  <si>
    <t>B1028</t>
  </si>
  <si>
    <t>C1028</t>
  </si>
  <si>
    <t>A1029</t>
  </si>
  <si>
    <t>B1029</t>
  </si>
  <si>
    <t>C1029</t>
  </si>
  <si>
    <t>A1030</t>
  </si>
  <si>
    <t>B1030</t>
  </si>
  <si>
    <t>C1030</t>
  </si>
  <si>
    <t>A1031</t>
  </si>
  <si>
    <t>B1031</t>
  </si>
  <si>
    <t>C1031</t>
  </si>
  <si>
    <t>A1032</t>
  </si>
  <si>
    <t>B1032</t>
  </si>
  <si>
    <t>C1032</t>
  </si>
  <si>
    <t>A1033</t>
  </si>
  <si>
    <t>B1033</t>
  </si>
  <si>
    <t>C1033</t>
  </si>
  <si>
    <t>A1034</t>
  </si>
  <si>
    <t>B1034</t>
  </si>
  <si>
    <t>C1034</t>
  </si>
  <si>
    <t>A1035</t>
  </si>
  <si>
    <t>B1035</t>
  </si>
  <si>
    <t>C1035</t>
  </si>
  <si>
    <t>A1036</t>
  </si>
  <si>
    <t>B1036</t>
  </si>
  <si>
    <t>C1036</t>
  </si>
  <si>
    <t>A1037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</si>
</sst>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2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0"/>
      <name val="굴림"/>
      <family val="3"/>
      <charset val="129"/>
    </font>
    <font>
      <b/>
      <sz val="12"/>
      <name val="돋움"/>
      <family val="3"/>
      <charset val="129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4" fillId="0" borderId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</cellStyleXfs>
  <cellXfs count="10">
    <xf numFmtId="0" fontId="0" fillId="0" borderId="0" xfId="0">
      <alignment vertical="center"/>
    </xf>
    <xf numFmtId="0" fontId="4" fillId="0" borderId="0" xfId="2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4" fillId="0" borderId="3" xfId="2" applyBorder="1" applyAlignment="1">
      <alignment horizontal="center" vertical="center"/>
    </xf>
    <xf numFmtId="41" fontId="4" fillId="0" borderId="3" xfId="3" applyBorder="1" applyAlignment="1">
      <alignment horizontal="center" vertical="center"/>
    </xf>
    <xf numFmtId="42" fontId="4" fillId="0" borderId="3" xfId="4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41" fontId="4" fillId="0" borderId="1" xfId="3" applyBorder="1" applyAlignment="1">
      <alignment horizontal="center" vertical="center"/>
    </xf>
    <xf numFmtId="42" fontId="4" fillId="0" borderId="1" xfId="4" applyBorder="1" applyAlignment="1">
      <alignment horizontal="center" vertical="center"/>
    </xf>
    <xf numFmtId="0" fontId="5" fillId="0" borderId="0" xfId="2" applyFont="1" applyAlignment="1">
      <alignment horizontal="center" vertical="center"/>
    </xf>
  </cellXfs>
  <cellStyles count="5">
    <cellStyle name="쉼표 [0] 4" xfId="3" xr:uid="{7A6E750F-B7EC-48C2-BC2B-1478EE5A11B9}"/>
    <cellStyle name="통화 [0] 3" xfId="4" xr:uid="{ABD37CAA-1430-44D4-B56E-3F311384F49E}"/>
    <cellStyle name="표준" xfId="0" builtinId="0"/>
    <cellStyle name="표준 2" xfId="1" xr:uid="{5D9192FA-3658-490E-B2C5-06DD696B22D7}"/>
    <cellStyle name="표준 5" xfId="2" xr:uid="{088EE546-353D-474E-98E2-1879F7EC14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BC61-2CCB-417F-BCA7-D8FA2534D6DB}">
  <dimension ref="B1:J117"/>
  <sheetViews>
    <sheetView tabSelected="1" workbookViewId="0">
      <selection activeCell="B1" sqref="B1:J1"/>
    </sheetView>
  </sheetViews>
  <sheetFormatPr defaultRowHeight="13.5" x14ac:dyDescent="0.3"/>
  <cols>
    <col min="1" max="1" width="2" style="1" customWidth="1"/>
    <col min="2" max="2" width="9" style="1"/>
    <col min="3" max="6" width="13" style="1" bestFit="1" customWidth="1"/>
    <col min="7" max="7" width="9" style="1"/>
    <col min="8" max="9" width="11.125" style="1" bestFit="1" customWidth="1"/>
    <col min="10" max="10" width="15" style="1" bestFit="1" customWidth="1"/>
    <col min="11" max="256" width="9" style="1"/>
    <col min="257" max="257" width="2" style="1" customWidth="1"/>
    <col min="258" max="258" width="9" style="1"/>
    <col min="259" max="262" width="13" style="1" bestFit="1" customWidth="1"/>
    <col min="263" max="263" width="9" style="1"/>
    <col min="264" max="265" width="11.125" style="1" bestFit="1" customWidth="1"/>
    <col min="266" max="266" width="15" style="1" bestFit="1" customWidth="1"/>
    <col min="267" max="512" width="9" style="1"/>
    <col min="513" max="513" width="2" style="1" customWidth="1"/>
    <col min="514" max="514" width="9" style="1"/>
    <col min="515" max="518" width="13" style="1" bestFit="1" customWidth="1"/>
    <col min="519" max="519" width="9" style="1"/>
    <col min="520" max="521" width="11.125" style="1" bestFit="1" customWidth="1"/>
    <col min="522" max="522" width="15" style="1" bestFit="1" customWidth="1"/>
    <col min="523" max="768" width="9" style="1"/>
    <col min="769" max="769" width="2" style="1" customWidth="1"/>
    <col min="770" max="770" width="9" style="1"/>
    <col min="771" max="774" width="13" style="1" bestFit="1" customWidth="1"/>
    <col min="775" max="775" width="9" style="1"/>
    <col min="776" max="777" width="11.125" style="1" bestFit="1" customWidth="1"/>
    <col min="778" max="778" width="15" style="1" bestFit="1" customWidth="1"/>
    <col min="779" max="1024" width="9" style="1"/>
    <col min="1025" max="1025" width="2" style="1" customWidth="1"/>
    <col min="1026" max="1026" width="9" style="1"/>
    <col min="1027" max="1030" width="13" style="1" bestFit="1" customWidth="1"/>
    <col min="1031" max="1031" width="9" style="1"/>
    <col min="1032" max="1033" width="11.125" style="1" bestFit="1" customWidth="1"/>
    <col min="1034" max="1034" width="15" style="1" bestFit="1" customWidth="1"/>
    <col min="1035" max="1280" width="9" style="1"/>
    <col min="1281" max="1281" width="2" style="1" customWidth="1"/>
    <col min="1282" max="1282" width="9" style="1"/>
    <col min="1283" max="1286" width="13" style="1" bestFit="1" customWidth="1"/>
    <col min="1287" max="1287" width="9" style="1"/>
    <col min="1288" max="1289" width="11.125" style="1" bestFit="1" customWidth="1"/>
    <col min="1290" max="1290" width="15" style="1" bestFit="1" customWidth="1"/>
    <col min="1291" max="1536" width="9" style="1"/>
    <col min="1537" max="1537" width="2" style="1" customWidth="1"/>
    <col min="1538" max="1538" width="9" style="1"/>
    <col min="1539" max="1542" width="13" style="1" bestFit="1" customWidth="1"/>
    <col min="1543" max="1543" width="9" style="1"/>
    <col min="1544" max="1545" width="11.125" style="1" bestFit="1" customWidth="1"/>
    <col min="1546" max="1546" width="15" style="1" bestFit="1" customWidth="1"/>
    <col min="1547" max="1792" width="9" style="1"/>
    <col min="1793" max="1793" width="2" style="1" customWidth="1"/>
    <col min="1794" max="1794" width="9" style="1"/>
    <col min="1795" max="1798" width="13" style="1" bestFit="1" customWidth="1"/>
    <col min="1799" max="1799" width="9" style="1"/>
    <col min="1800" max="1801" width="11.125" style="1" bestFit="1" customWidth="1"/>
    <col min="1802" max="1802" width="15" style="1" bestFit="1" customWidth="1"/>
    <col min="1803" max="2048" width="9" style="1"/>
    <col min="2049" max="2049" width="2" style="1" customWidth="1"/>
    <col min="2050" max="2050" width="9" style="1"/>
    <col min="2051" max="2054" width="13" style="1" bestFit="1" customWidth="1"/>
    <col min="2055" max="2055" width="9" style="1"/>
    <col min="2056" max="2057" width="11.125" style="1" bestFit="1" customWidth="1"/>
    <col min="2058" max="2058" width="15" style="1" bestFit="1" customWidth="1"/>
    <col min="2059" max="2304" width="9" style="1"/>
    <col min="2305" max="2305" width="2" style="1" customWidth="1"/>
    <col min="2306" max="2306" width="9" style="1"/>
    <col min="2307" max="2310" width="13" style="1" bestFit="1" customWidth="1"/>
    <col min="2311" max="2311" width="9" style="1"/>
    <col min="2312" max="2313" width="11.125" style="1" bestFit="1" customWidth="1"/>
    <col min="2314" max="2314" width="15" style="1" bestFit="1" customWidth="1"/>
    <col min="2315" max="2560" width="9" style="1"/>
    <col min="2561" max="2561" width="2" style="1" customWidth="1"/>
    <col min="2562" max="2562" width="9" style="1"/>
    <col min="2563" max="2566" width="13" style="1" bestFit="1" customWidth="1"/>
    <col min="2567" max="2567" width="9" style="1"/>
    <col min="2568" max="2569" width="11.125" style="1" bestFit="1" customWidth="1"/>
    <col min="2570" max="2570" width="15" style="1" bestFit="1" customWidth="1"/>
    <col min="2571" max="2816" width="9" style="1"/>
    <col min="2817" max="2817" width="2" style="1" customWidth="1"/>
    <col min="2818" max="2818" width="9" style="1"/>
    <col min="2819" max="2822" width="13" style="1" bestFit="1" customWidth="1"/>
    <col min="2823" max="2823" width="9" style="1"/>
    <col min="2824" max="2825" width="11.125" style="1" bestFit="1" customWidth="1"/>
    <col min="2826" max="2826" width="15" style="1" bestFit="1" customWidth="1"/>
    <col min="2827" max="3072" width="9" style="1"/>
    <col min="3073" max="3073" width="2" style="1" customWidth="1"/>
    <col min="3074" max="3074" width="9" style="1"/>
    <col min="3075" max="3078" width="13" style="1" bestFit="1" customWidth="1"/>
    <col min="3079" max="3079" width="9" style="1"/>
    <col min="3080" max="3081" width="11.125" style="1" bestFit="1" customWidth="1"/>
    <col min="3082" max="3082" width="15" style="1" bestFit="1" customWidth="1"/>
    <col min="3083" max="3328" width="9" style="1"/>
    <col min="3329" max="3329" width="2" style="1" customWidth="1"/>
    <col min="3330" max="3330" width="9" style="1"/>
    <col min="3331" max="3334" width="13" style="1" bestFit="1" customWidth="1"/>
    <col min="3335" max="3335" width="9" style="1"/>
    <col min="3336" max="3337" width="11.125" style="1" bestFit="1" customWidth="1"/>
    <col min="3338" max="3338" width="15" style="1" bestFit="1" customWidth="1"/>
    <col min="3339" max="3584" width="9" style="1"/>
    <col min="3585" max="3585" width="2" style="1" customWidth="1"/>
    <col min="3586" max="3586" width="9" style="1"/>
    <col min="3587" max="3590" width="13" style="1" bestFit="1" customWidth="1"/>
    <col min="3591" max="3591" width="9" style="1"/>
    <col min="3592" max="3593" width="11.125" style="1" bestFit="1" customWidth="1"/>
    <col min="3594" max="3594" width="15" style="1" bestFit="1" customWidth="1"/>
    <col min="3595" max="3840" width="9" style="1"/>
    <col min="3841" max="3841" width="2" style="1" customWidth="1"/>
    <col min="3842" max="3842" width="9" style="1"/>
    <col min="3843" max="3846" width="13" style="1" bestFit="1" customWidth="1"/>
    <col min="3847" max="3847" width="9" style="1"/>
    <col min="3848" max="3849" width="11.125" style="1" bestFit="1" customWidth="1"/>
    <col min="3850" max="3850" width="15" style="1" bestFit="1" customWidth="1"/>
    <col min="3851" max="4096" width="9" style="1"/>
    <col min="4097" max="4097" width="2" style="1" customWidth="1"/>
    <col min="4098" max="4098" width="9" style="1"/>
    <col min="4099" max="4102" width="13" style="1" bestFit="1" customWidth="1"/>
    <col min="4103" max="4103" width="9" style="1"/>
    <col min="4104" max="4105" width="11.125" style="1" bestFit="1" customWidth="1"/>
    <col min="4106" max="4106" width="15" style="1" bestFit="1" customWidth="1"/>
    <col min="4107" max="4352" width="9" style="1"/>
    <col min="4353" max="4353" width="2" style="1" customWidth="1"/>
    <col min="4354" max="4354" width="9" style="1"/>
    <col min="4355" max="4358" width="13" style="1" bestFit="1" customWidth="1"/>
    <col min="4359" max="4359" width="9" style="1"/>
    <col min="4360" max="4361" width="11.125" style="1" bestFit="1" customWidth="1"/>
    <col min="4362" max="4362" width="15" style="1" bestFit="1" customWidth="1"/>
    <col min="4363" max="4608" width="9" style="1"/>
    <col min="4609" max="4609" width="2" style="1" customWidth="1"/>
    <col min="4610" max="4610" width="9" style="1"/>
    <col min="4611" max="4614" width="13" style="1" bestFit="1" customWidth="1"/>
    <col min="4615" max="4615" width="9" style="1"/>
    <col min="4616" max="4617" width="11.125" style="1" bestFit="1" customWidth="1"/>
    <col min="4618" max="4618" width="15" style="1" bestFit="1" customWidth="1"/>
    <col min="4619" max="4864" width="9" style="1"/>
    <col min="4865" max="4865" width="2" style="1" customWidth="1"/>
    <col min="4866" max="4866" width="9" style="1"/>
    <col min="4867" max="4870" width="13" style="1" bestFit="1" customWidth="1"/>
    <col min="4871" max="4871" width="9" style="1"/>
    <col min="4872" max="4873" width="11.125" style="1" bestFit="1" customWidth="1"/>
    <col min="4874" max="4874" width="15" style="1" bestFit="1" customWidth="1"/>
    <col min="4875" max="5120" width="9" style="1"/>
    <col min="5121" max="5121" width="2" style="1" customWidth="1"/>
    <col min="5122" max="5122" width="9" style="1"/>
    <col min="5123" max="5126" width="13" style="1" bestFit="1" customWidth="1"/>
    <col min="5127" max="5127" width="9" style="1"/>
    <col min="5128" max="5129" width="11.125" style="1" bestFit="1" customWidth="1"/>
    <col min="5130" max="5130" width="15" style="1" bestFit="1" customWidth="1"/>
    <col min="5131" max="5376" width="9" style="1"/>
    <col min="5377" max="5377" width="2" style="1" customWidth="1"/>
    <col min="5378" max="5378" width="9" style="1"/>
    <col min="5379" max="5382" width="13" style="1" bestFit="1" customWidth="1"/>
    <col min="5383" max="5383" width="9" style="1"/>
    <col min="5384" max="5385" width="11.125" style="1" bestFit="1" customWidth="1"/>
    <col min="5386" max="5386" width="15" style="1" bestFit="1" customWidth="1"/>
    <col min="5387" max="5632" width="9" style="1"/>
    <col min="5633" max="5633" width="2" style="1" customWidth="1"/>
    <col min="5634" max="5634" width="9" style="1"/>
    <col min="5635" max="5638" width="13" style="1" bestFit="1" customWidth="1"/>
    <col min="5639" max="5639" width="9" style="1"/>
    <col min="5640" max="5641" width="11.125" style="1" bestFit="1" customWidth="1"/>
    <col min="5642" max="5642" width="15" style="1" bestFit="1" customWidth="1"/>
    <col min="5643" max="5888" width="9" style="1"/>
    <col min="5889" max="5889" width="2" style="1" customWidth="1"/>
    <col min="5890" max="5890" width="9" style="1"/>
    <col min="5891" max="5894" width="13" style="1" bestFit="1" customWidth="1"/>
    <col min="5895" max="5895" width="9" style="1"/>
    <col min="5896" max="5897" width="11.125" style="1" bestFit="1" customWidth="1"/>
    <col min="5898" max="5898" width="15" style="1" bestFit="1" customWidth="1"/>
    <col min="5899" max="6144" width="9" style="1"/>
    <col min="6145" max="6145" width="2" style="1" customWidth="1"/>
    <col min="6146" max="6146" width="9" style="1"/>
    <col min="6147" max="6150" width="13" style="1" bestFit="1" customWidth="1"/>
    <col min="6151" max="6151" width="9" style="1"/>
    <col min="6152" max="6153" width="11.125" style="1" bestFit="1" customWidth="1"/>
    <col min="6154" max="6154" width="15" style="1" bestFit="1" customWidth="1"/>
    <col min="6155" max="6400" width="9" style="1"/>
    <col min="6401" max="6401" width="2" style="1" customWidth="1"/>
    <col min="6402" max="6402" width="9" style="1"/>
    <col min="6403" max="6406" width="13" style="1" bestFit="1" customWidth="1"/>
    <col min="6407" max="6407" width="9" style="1"/>
    <col min="6408" max="6409" width="11.125" style="1" bestFit="1" customWidth="1"/>
    <col min="6410" max="6410" width="15" style="1" bestFit="1" customWidth="1"/>
    <col min="6411" max="6656" width="9" style="1"/>
    <col min="6657" max="6657" width="2" style="1" customWidth="1"/>
    <col min="6658" max="6658" width="9" style="1"/>
    <col min="6659" max="6662" width="13" style="1" bestFit="1" customWidth="1"/>
    <col min="6663" max="6663" width="9" style="1"/>
    <col min="6664" max="6665" width="11.125" style="1" bestFit="1" customWidth="1"/>
    <col min="6666" max="6666" width="15" style="1" bestFit="1" customWidth="1"/>
    <col min="6667" max="6912" width="9" style="1"/>
    <col min="6913" max="6913" width="2" style="1" customWidth="1"/>
    <col min="6914" max="6914" width="9" style="1"/>
    <col min="6915" max="6918" width="13" style="1" bestFit="1" customWidth="1"/>
    <col min="6919" max="6919" width="9" style="1"/>
    <col min="6920" max="6921" width="11.125" style="1" bestFit="1" customWidth="1"/>
    <col min="6922" max="6922" width="15" style="1" bestFit="1" customWidth="1"/>
    <col min="6923" max="7168" width="9" style="1"/>
    <col min="7169" max="7169" width="2" style="1" customWidth="1"/>
    <col min="7170" max="7170" width="9" style="1"/>
    <col min="7171" max="7174" width="13" style="1" bestFit="1" customWidth="1"/>
    <col min="7175" max="7175" width="9" style="1"/>
    <col min="7176" max="7177" width="11.125" style="1" bestFit="1" customWidth="1"/>
    <col min="7178" max="7178" width="15" style="1" bestFit="1" customWidth="1"/>
    <col min="7179" max="7424" width="9" style="1"/>
    <col min="7425" max="7425" width="2" style="1" customWidth="1"/>
    <col min="7426" max="7426" width="9" style="1"/>
    <col min="7427" max="7430" width="13" style="1" bestFit="1" customWidth="1"/>
    <col min="7431" max="7431" width="9" style="1"/>
    <col min="7432" max="7433" width="11.125" style="1" bestFit="1" customWidth="1"/>
    <col min="7434" max="7434" width="15" style="1" bestFit="1" customWidth="1"/>
    <col min="7435" max="7680" width="9" style="1"/>
    <col min="7681" max="7681" width="2" style="1" customWidth="1"/>
    <col min="7682" max="7682" width="9" style="1"/>
    <col min="7683" max="7686" width="13" style="1" bestFit="1" customWidth="1"/>
    <col min="7687" max="7687" width="9" style="1"/>
    <col min="7688" max="7689" width="11.125" style="1" bestFit="1" customWidth="1"/>
    <col min="7690" max="7690" width="15" style="1" bestFit="1" customWidth="1"/>
    <col min="7691" max="7936" width="9" style="1"/>
    <col min="7937" max="7937" width="2" style="1" customWidth="1"/>
    <col min="7938" max="7938" width="9" style="1"/>
    <col min="7939" max="7942" width="13" style="1" bestFit="1" customWidth="1"/>
    <col min="7943" max="7943" width="9" style="1"/>
    <col min="7944" max="7945" width="11.125" style="1" bestFit="1" customWidth="1"/>
    <col min="7946" max="7946" width="15" style="1" bestFit="1" customWidth="1"/>
    <col min="7947" max="8192" width="9" style="1"/>
    <col min="8193" max="8193" width="2" style="1" customWidth="1"/>
    <col min="8194" max="8194" width="9" style="1"/>
    <col min="8195" max="8198" width="13" style="1" bestFit="1" customWidth="1"/>
    <col min="8199" max="8199" width="9" style="1"/>
    <col min="8200" max="8201" width="11.125" style="1" bestFit="1" customWidth="1"/>
    <col min="8202" max="8202" width="15" style="1" bestFit="1" customWidth="1"/>
    <col min="8203" max="8448" width="9" style="1"/>
    <col min="8449" max="8449" width="2" style="1" customWidth="1"/>
    <col min="8450" max="8450" width="9" style="1"/>
    <col min="8451" max="8454" width="13" style="1" bestFit="1" customWidth="1"/>
    <col min="8455" max="8455" width="9" style="1"/>
    <col min="8456" max="8457" width="11.125" style="1" bestFit="1" customWidth="1"/>
    <col min="8458" max="8458" width="15" style="1" bestFit="1" customWidth="1"/>
    <col min="8459" max="8704" width="9" style="1"/>
    <col min="8705" max="8705" width="2" style="1" customWidth="1"/>
    <col min="8706" max="8706" width="9" style="1"/>
    <col min="8707" max="8710" width="13" style="1" bestFit="1" customWidth="1"/>
    <col min="8711" max="8711" width="9" style="1"/>
    <col min="8712" max="8713" width="11.125" style="1" bestFit="1" customWidth="1"/>
    <col min="8714" max="8714" width="15" style="1" bestFit="1" customWidth="1"/>
    <col min="8715" max="8960" width="9" style="1"/>
    <col min="8961" max="8961" width="2" style="1" customWidth="1"/>
    <col min="8962" max="8962" width="9" style="1"/>
    <col min="8963" max="8966" width="13" style="1" bestFit="1" customWidth="1"/>
    <col min="8967" max="8967" width="9" style="1"/>
    <col min="8968" max="8969" width="11.125" style="1" bestFit="1" customWidth="1"/>
    <col min="8970" max="8970" width="15" style="1" bestFit="1" customWidth="1"/>
    <col min="8971" max="9216" width="9" style="1"/>
    <col min="9217" max="9217" width="2" style="1" customWidth="1"/>
    <col min="9218" max="9218" width="9" style="1"/>
    <col min="9219" max="9222" width="13" style="1" bestFit="1" customWidth="1"/>
    <col min="9223" max="9223" width="9" style="1"/>
    <col min="9224" max="9225" width="11.125" style="1" bestFit="1" customWidth="1"/>
    <col min="9226" max="9226" width="15" style="1" bestFit="1" customWidth="1"/>
    <col min="9227" max="9472" width="9" style="1"/>
    <col min="9473" max="9473" width="2" style="1" customWidth="1"/>
    <col min="9474" max="9474" width="9" style="1"/>
    <col min="9475" max="9478" width="13" style="1" bestFit="1" customWidth="1"/>
    <col min="9479" max="9479" width="9" style="1"/>
    <col min="9480" max="9481" width="11.125" style="1" bestFit="1" customWidth="1"/>
    <col min="9482" max="9482" width="15" style="1" bestFit="1" customWidth="1"/>
    <col min="9483" max="9728" width="9" style="1"/>
    <col min="9729" max="9729" width="2" style="1" customWidth="1"/>
    <col min="9730" max="9730" width="9" style="1"/>
    <col min="9731" max="9734" width="13" style="1" bestFit="1" customWidth="1"/>
    <col min="9735" max="9735" width="9" style="1"/>
    <col min="9736" max="9737" width="11.125" style="1" bestFit="1" customWidth="1"/>
    <col min="9738" max="9738" width="15" style="1" bestFit="1" customWidth="1"/>
    <col min="9739" max="9984" width="9" style="1"/>
    <col min="9985" max="9985" width="2" style="1" customWidth="1"/>
    <col min="9986" max="9986" width="9" style="1"/>
    <col min="9987" max="9990" width="13" style="1" bestFit="1" customWidth="1"/>
    <col min="9991" max="9991" width="9" style="1"/>
    <col min="9992" max="9993" width="11.125" style="1" bestFit="1" customWidth="1"/>
    <col min="9994" max="9994" width="15" style="1" bestFit="1" customWidth="1"/>
    <col min="9995" max="10240" width="9" style="1"/>
    <col min="10241" max="10241" width="2" style="1" customWidth="1"/>
    <col min="10242" max="10242" width="9" style="1"/>
    <col min="10243" max="10246" width="13" style="1" bestFit="1" customWidth="1"/>
    <col min="10247" max="10247" width="9" style="1"/>
    <col min="10248" max="10249" width="11.125" style="1" bestFit="1" customWidth="1"/>
    <col min="10250" max="10250" width="15" style="1" bestFit="1" customWidth="1"/>
    <col min="10251" max="10496" width="9" style="1"/>
    <col min="10497" max="10497" width="2" style="1" customWidth="1"/>
    <col min="10498" max="10498" width="9" style="1"/>
    <col min="10499" max="10502" width="13" style="1" bestFit="1" customWidth="1"/>
    <col min="10503" max="10503" width="9" style="1"/>
    <col min="10504" max="10505" width="11.125" style="1" bestFit="1" customWidth="1"/>
    <col min="10506" max="10506" width="15" style="1" bestFit="1" customWidth="1"/>
    <col min="10507" max="10752" width="9" style="1"/>
    <col min="10753" max="10753" width="2" style="1" customWidth="1"/>
    <col min="10754" max="10754" width="9" style="1"/>
    <col min="10755" max="10758" width="13" style="1" bestFit="1" customWidth="1"/>
    <col min="10759" max="10759" width="9" style="1"/>
    <col min="10760" max="10761" width="11.125" style="1" bestFit="1" customWidth="1"/>
    <col min="10762" max="10762" width="15" style="1" bestFit="1" customWidth="1"/>
    <col min="10763" max="11008" width="9" style="1"/>
    <col min="11009" max="11009" width="2" style="1" customWidth="1"/>
    <col min="11010" max="11010" width="9" style="1"/>
    <col min="11011" max="11014" width="13" style="1" bestFit="1" customWidth="1"/>
    <col min="11015" max="11015" width="9" style="1"/>
    <col min="11016" max="11017" width="11.125" style="1" bestFit="1" customWidth="1"/>
    <col min="11018" max="11018" width="15" style="1" bestFit="1" customWidth="1"/>
    <col min="11019" max="11264" width="9" style="1"/>
    <col min="11265" max="11265" width="2" style="1" customWidth="1"/>
    <col min="11266" max="11266" width="9" style="1"/>
    <col min="11267" max="11270" width="13" style="1" bestFit="1" customWidth="1"/>
    <col min="11271" max="11271" width="9" style="1"/>
    <col min="11272" max="11273" width="11.125" style="1" bestFit="1" customWidth="1"/>
    <col min="11274" max="11274" width="15" style="1" bestFit="1" customWidth="1"/>
    <col min="11275" max="11520" width="9" style="1"/>
    <col min="11521" max="11521" width="2" style="1" customWidth="1"/>
    <col min="11522" max="11522" width="9" style="1"/>
    <col min="11523" max="11526" width="13" style="1" bestFit="1" customWidth="1"/>
    <col min="11527" max="11527" width="9" style="1"/>
    <col min="11528" max="11529" width="11.125" style="1" bestFit="1" customWidth="1"/>
    <col min="11530" max="11530" width="15" style="1" bestFit="1" customWidth="1"/>
    <col min="11531" max="11776" width="9" style="1"/>
    <col min="11777" max="11777" width="2" style="1" customWidth="1"/>
    <col min="11778" max="11778" width="9" style="1"/>
    <col min="11779" max="11782" width="13" style="1" bestFit="1" customWidth="1"/>
    <col min="11783" max="11783" width="9" style="1"/>
    <col min="11784" max="11785" width="11.125" style="1" bestFit="1" customWidth="1"/>
    <col min="11786" max="11786" width="15" style="1" bestFit="1" customWidth="1"/>
    <col min="11787" max="12032" width="9" style="1"/>
    <col min="12033" max="12033" width="2" style="1" customWidth="1"/>
    <col min="12034" max="12034" width="9" style="1"/>
    <col min="12035" max="12038" width="13" style="1" bestFit="1" customWidth="1"/>
    <col min="12039" max="12039" width="9" style="1"/>
    <col min="12040" max="12041" width="11.125" style="1" bestFit="1" customWidth="1"/>
    <col min="12042" max="12042" width="15" style="1" bestFit="1" customWidth="1"/>
    <col min="12043" max="12288" width="9" style="1"/>
    <col min="12289" max="12289" width="2" style="1" customWidth="1"/>
    <col min="12290" max="12290" width="9" style="1"/>
    <col min="12291" max="12294" width="13" style="1" bestFit="1" customWidth="1"/>
    <col min="12295" max="12295" width="9" style="1"/>
    <col min="12296" max="12297" width="11.125" style="1" bestFit="1" customWidth="1"/>
    <col min="12298" max="12298" width="15" style="1" bestFit="1" customWidth="1"/>
    <col min="12299" max="12544" width="9" style="1"/>
    <col min="12545" max="12545" width="2" style="1" customWidth="1"/>
    <col min="12546" max="12546" width="9" style="1"/>
    <col min="12547" max="12550" width="13" style="1" bestFit="1" customWidth="1"/>
    <col min="12551" max="12551" width="9" style="1"/>
    <col min="12552" max="12553" width="11.125" style="1" bestFit="1" customWidth="1"/>
    <col min="12554" max="12554" width="15" style="1" bestFit="1" customWidth="1"/>
    <col min="12555" max="12800" width="9" style="1"/>
    <col min="12801" max="12801" width="2" style="1" customWidth="1"/>
    <col min="12802" max="12802" width="9" style="1"/>
    <col min="12803" max="12806" width="13" style="1" bestFit="1" customWidth="1"/>
    <col min="12807" max="12807" width="9" style="1"/>
    <col min="12808" max="12809" width="11.125" style="1" bestFit="1" customWidth="1"/>
    <col min="12810" max="12810" width="15" style="1" bestFit="1" customWidth="1"/>
    <col min="12811" max="13056" width="9" style="1"/>
    <col min="13057" max="13057" width="2" style="1" customWidth="1"/>
    <col min="13058" max="13058" width="9" style="1"/>
    <col min="13059" max="13062" width="13" style="1" bestFit="1" customWidth="1"/>
    <col min="13063" max="13063" width="9" style="1"/>
    <col min="13064" max="13065" width="11.125" style="1" bestFit="1" customWidth="1"/>
    <col min="13066" max="13066" width="15" style="1" bestFit="1" customWidth="1"/>
    <col min="13067" max="13312" width="9" style="1"/>
    <col min="13313" max="13313" width="2" style="1" customWidth="1"/>
    <col min="13314" max="13314" width="9" style="1"/>
    <col min="13315" max="13318" width="13" style="1" bestFit="1" customWidth="1"/>
    <col min="13319" max="13319" width="9" style="1"/>
    <col min="13320" max="13321" width="11.125" style="1" bestFit="1" customWidth="1"/>
    <col min="13322" max="13322" width="15" style="1" bestFit="1" customWidth="1"/>
    <col min="13323" max="13568" width="9" style="1"/>
    <col min="13569" max="13569" width="2" style="1" customWidth="1"/>
    <col min="13570" max="13570" width="9" style="1"/>
    <col min="13571" max="13574" width="13" style="1" bestFit="1" customWidth="1"/>
    <col min="13575" max="13575" width="9" style="1"/>
    <col min="13576" max="13577" width="11.125" style="1" bestFit="1" customWidth="1"/>
    <col min="13578" max="13578" width="15" style="1" bestFit="1" customWidth="1"/>
    <col min="13579" max="13824" width="9" style="1"/>
    <col min="13825" max="13825" width="2" style="1" customWidth="1"/>
    <col min="13826" max="13826" width="9" style="1"/>
    <col min="13827" max="13830" width="13" style="1" bestFit="1" customWidth="1"/>
    <col min="13831" max="13831" width="9" style="1"/>
    <col min="13832" max="13833" width="11.125" style="1" bestFit="1" customWidth="1"/>
    <col min="13834" max="13834" width="15" style="1" bestFit="1" customWidth="1"/>
    <col min="13835" max="14080" width="9" style="1"/>
    <col min="14081" max="14081" width="2" style="1" customWidth="1"/>
    <col min="14082" max="14082" width="9" style="1"/>
    <col min="14083" max="14086" width="13" style="1" bestFit="1" customWidth="1"/>
    <col min="14087" max="14087" width="9" style="1"/>
    <col min="14088" max="14089" width="11.125" style="1" bestFit="1" customWidth="1"/>
    <col min="14090" max="14090" width="15" style="1" bestFit="1" customWidth="1"/>
    <col min="14091" max="14336" width="9" style="1"/>
    <col min="14337" max="14337" width="2" style="1" customWidth="1"/>
    <col min="14338" max="14338" width="9" style="1"/>
    <col min="14339" max="14342" width="13" style="1" bestFit="1" customWidth="1"/>
    <col min="14343" max="14343" width="9" style="1"/>
    <col min="14344" max="14345" width="11.125" style="1" bestFit="1" customWidth="1"/>
    <col min="14346" max="14346" width="15" style="1" bestFit="1" customWidth="1"/>
    <col min="14347" max="14592" width="9" style="1"/>
    <col min="14593" max="14593" width="2" style="1" customWidth="1"/>
    <col min="14594" max="14594" width="9" style="1"/>
    <col min="14595" max="14598" width="13" style="1" bestFit="1" customWidth="1"/>
    <col min="14599" max="14599" width="9" style="1"/>
    <col min="14600" max="14601" width="11.125" style="1" bestFit="1" customWidth="1"/>
    <col min="14602" max="14602" width="15" style="1" bestFit="1" customWidth="1"/>
    <col min="14603" max="14848" width="9" style="1"/>
    <col min="14849" max="14849" width="2" style="1" customWidth="1"/>
    <col min="14850" max="14850" width="9" style="1"/>
    <col min="14851" max="14854" width="13" style="1" bestFit="1" customWidth="1"/>
    <col min="14855" max="14855" width="9" style="1"/>
    <col min="14856" max="14857" width="11.125" style="1" bestFit="1" customWidth="1"/>
    <col min="14858" max="14858" width="15" style="1" bestFit="1" customWidth="1"/>
    <col min="14859" max="15104" width="9" style="1"/>
    <col min="15105" max="15105" width="2" style="1" customWidth="1"/>
    <col min="15106" max="15106" width="9" style="1"/>
    <col min="15107" max="15110" width="13" style="1" bestFit="1" customWidth="1"/>
    <col min="15111" max="15111" width="9" style="1"/>
    <col min="15112" max="15113" width="11.125" style="1" bestFit="1" customWidth="1"/>
    <col min="15114" max="15114" width="15" style="1" bestFit="1" customWidth="1"/>
    <col min="15115" max="15360" width="9" style="1"/>
    <col min="15361" max="15361" width="2" style="1" customWidth="1"/>
    <col min="15362" max="15362" width="9" style="1"/>
    <col min="15363" max="15366" width="13" style="1" bestFit="1" customWidth="1"/>
    <col min="15367" max="15367" width="9" style="1"/>
    <col min="15368" max="15369" width="11.125" style="1" bestFit="1" customWidth="1"/>
    <col min="15370" max="15370" width="15" style="1" bestFit="1" customWidth="1"/>
    <col min="15371" max="15616" width="9" style="1"/>
    <col min="15617" max="15617" width="2" style="1" customWidth="1"/>
    <col min="15618" max="15618" width="9" style="1"/>
    <col min="15619" max="15622" width="13" style="1" bestFit="1" customWidth="1"/>
    <col min="15623" max="15623" width="9" style="1"/>
    <col min="15624" max="15625" width="11.125" style="1" bestFit="1" customWidth="1"/>
    <col min="15626" max="15626" width="15" style="1" bestFit="1" customWidth="1"/>
    <col min="15627" max="15872" width="9" style="1"/>
    <col min="15873" max="15873" width="2" style="1" customWidth="1"/>
    <col min="15874" max="15874" width="9" style="1"/>
    <col min="15875" max="15878" width="13" style="1" bestFit="1" customWidth="1"/>
    <col min="15879" max="15879" width="9" style="1"/>
    <col min="15880" max="15881" width="11.125" style="1" bestFit="1" customWidth="1"/>
    <col min="15882" max="15882" width="15" style="1" bestFit="1" customWidth="1"/>
    <col min="15883" max="16128" width="9" style="1"/>
    <col min="16129" max="16129" width="2" style="1" customWidth="1"/>
    <col min="16130" max="16130" width="9" style="1"/>
    <col min="16131" max="16134" width="13" style="1" bestFit="1" customWidth="1"/>
    <col min="16135" max="16135" width="9" style="1"/>
    <col min="16136" max="16137" width="11.125" style="1" bestFit="1" customWidth="1"/>
    <col min="16138" max="16138" width="15" style="1" bestFit="1" customWidth="1"/>
    <col min="16139" max="16384" width="9" style="1"/>
  </cols>
  <sheetData>
    <row r="1" spans="2:10" ht="39" customHeight="1" x14ac:dyDescent="0.3">
      <c r="B1" s="9" t="s">
        <v>0</v>
      </c>
      <c r="C1" s="9"/>
      <c r="D1" s="9"/>
      <c r="E1" s="9"/>
      <c r="F1" s="9"/>
      <c r="G1" s="9"/>
      <c r="H1" s="9"/>
      <c r="I1" s="9"/>
      <c r="J1" s="9"/>
    </row>
    <row r="3" spans="2:10" ht="25.5" customHeight="1" thickBot="1" x14ac:dyDescent="0.3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2:10" ht="17.100000000000001" customHeight="1" thickTop="1" x14ac:dyDescent="0.3">
      <c r="B4" s="3" t="s">
        <v>10</v>
      </c>
      <c r="C4" s="3" t="s">
        <v>11</v>
      </c>
      <c r="D4" s="3" t="str">
        <f t="shared" ref="D4:D67" si="0">IF(LEFT(B4,1)="A","연구부",IF(LEFT(B4,1)="B","관리부","경리부"))</f>
        <v>연구부</v>
      </c>
      <c r="E4" s="3" t="s">
        <v>12</v>
      </c>
      <c r="F4" s="4">
        <v>1500000</v>
      </c>
      <c r="G4" s="3">
        <v>6</v>
      </c>
      <c r="H4" s="4">
        <f t="shared" ref="H4:H67" si="1">IF(E4="부장",200000,IF(E4="과장",150000,IF(E4="대리",100000,50000)))</f>
        <v>200000</v>
      </c>
      <c r="I4" s="4">
        <f t="shared" ref="I4:I67" si="2">F4*G4*0.01</f>
        <v>90000</v>
      </c>
      <c r="J4" s="5">
        <f t="shared" ref="J4:J67" si="3">F4+I4+H4</f>
        <v>1790000</v>
      </c>
    </row>
    <row r="5" spans="2:10" ht="17.100000000000001" customHeight="1" x14ac:dyDescent="0.3">
      <c r="B5" s="6" t="s">
        <v>13</v>
      </c>
      <c r="C5" s="6" t="s">
        <v>14</v>
      </c>
      <c r="D5" s="6" t="str">
        <f t="shared" si="0"/>
        <v>관리부</v>
      </c>
      <c r="E5" s="6" t="s">
        <v>15</v>
      </c>
      <c r="F5" s="7">
        <v>1400000</v>
      </c>
      <c r="G5" s="6">
        <v>5</v>
      </c>
      <c r="H5" s="7">
        <f t="shared" si="1"/>
        <v>150000</v>
      </c>
      <c r="I5" s="7">
        <f t="shared" si="2"/>
        <v>70000</v>
      </c>
      <c r="J5" s="8">
        <f t="shared" si="3"/>
        <v>1620000</v>
      </c>
    </row>
    <row r="6" spans="2:10" ht="17.100000000000001" customHeight="1" x14ac:dyDescent="0.3">
      <c r="B6" s="6" t="s">
        <v>16</v>
      </c>
      <c r="C6" s="6" t="s">
        <v>17</v>
      </c>
      <c r="D6" s="6" t="str">
        <f t="shared" si="0"/>
        <v>경리부</v>
      </c>
      <c r="E6" s="6" t="s">
        <v>15</v>
      </c>
      <c r="F6" s="7">
        <v>1400000</v>
      </c>
      <c r="G6" s="6">
        <v>5</v>
      </c>
      <c r="H6" s="7">
        <f t="shared" si="1"/>
        <v>150000</v>
      </c>
      <c r="I6" s="7">
        <f t="shared" si="2"/>
        <v>70000</v>
      </c>
      <c r="J6" s="8">
        <f t="shared" si="3"/>
        <v>1620000</v>
      </c>
    </row>
    <row r="7" spans="2:10" ht="17.100000000000001" customHeight="1" x14ac:dyDescent="0.3">
      <c r="B7" s="3" t="s">
        <v>18</v>
      </c>
      <c r="C7" s="6" t="s">
        <v>19</v>
      </c>
      <c r="D7" s="6" t="str">
        <f t="shared" si="0"/>
        <v>연구부</v>
      </c>
      <c r="E7" s="6" t="s">
        <v>20</v>
      </c>
      <c r="F7" s="7">
        <v>1300000</v>
      </c>
      <c r="G7" s="6">
        <v>4</v>
      </c>
      <c r="H7" s="7">
        <f t="shared" si="1"/>
        <v>100000</v>
      </c>
      <c r="I7" s="7">
        <f t="shared" si="2"/>
        <v>52000</v>
      </c>
      <c r="J7" s="8">
        <f t="shared" si="3"/>
        <v>1452000</v>
      </c>
    </row>
    <row r="8" spans="2:10" ht="17.100000000000001" customHeight="1" x14ac:dyDescent="0.3">
      <c r="B8" s="6" t="s">
        <v>21</v>
      </c>
      <c r="C8" s="6" t="s">
        <v>22</v>
      </c>
      <c r="D8" s="6" t="str">
        <f t="shared" si="0"/>
        <v>관리부</v>
      </c>
      <c r="E8" s="6" t="s">
        <v>20</v>
      </c>
      <c r="F8" s="7">
        <v>1300000</v>
      </c>
      <c r="G8" s="6">
        <v>5</v>
      </c>
      <c r="H8" s="7">
        <f t="shared" si="1"/>
        <v>100000</v>
      </c>
      <c r="I8" s="7">
        <f t="shared" si="2"/>
        <v>65000</v>
      </c>
      <c r="J8" s="8">
        <f t="shared" si="3"/>
        <v>1465000</v>
      </c>
    </row>
    <row r="9" spans="2:10" ht="17.100000000000001" customHeight="1" x14ac:dyDescent="0.3">
      <c r="B9" s="6" t="s">
        <v>23</v>
      </c>
      <c r="C9" s="6" t="s">
        <v>24</v>
      </c>
      <c r="D9" s="6" t="str">
        <f t="shared" si="0"/>
        <v>경리부</v>
      </c>
      <c r="E9" s="6" t="s">
        <v>25</v>
      </c>
      <c r="F9" s="7">
        <v>1200000</v>
      </c>
      <c r="G9" s="6">
        <v>7</v>
      </c>
      <c r="H9" s="7">
        <f t="shared" si="1"/>
        <v>50000</v>
      </c>
      <c r="I9" s="7">
        <f t="shared" si="2"/>
        <v>84000</v>
      </c>
      <c r="J9" s="8">
        <f t="shared" si="3"/>
        <v>1334000</v>
      </c>
    </row>
    <row r="10" spans="2:10" ht="17.100000000000001" customHeight="1" x14ac:dyDescent="0.3">
      <c r="B10" s="3" t="s">
        <v>26</v>
      </c>
      <c r="C10" s="6" t="s">
        <v>27</v>
      </c>
      <c r="D10" s="6" t="str">
        <f t="shared" si="0"/>
        <v>연구부</v>
      </c>
      <c r="E10" s="6" t="s">
        <v>25</v>
      </c>
      <c r="F10" s="7">
        <v>1200000</v>
      </c>
      <c r="G10" s="6">
        <v>2</v>
      </c>
      <c r="H10" s="7">
        <f t="shared" si="1"/>
        <v>50000</v>
      </c>
      <c r="I10" s="7">
        <f t="shared" si="2"/>
        <v>24000</v>
      </c>
      <c r="J10" s="8">
        <f t="shared" si="3"/>
        <v>1274000</v>
      </c>
    </row>
    <row r="11" spans="2:10" ht="17.100000000000001" customHeight="1" x14ac:dyDescent="0.3">
      <c r="B11" s="6" t="s">
        <v>28</v>
      </c>
      <c r="C11" s="6" t="s">
        <v>29</v>
      </c>
      <c r="D11" s="6" t="str">
        <f t="shared" si="0"/>
        <v>관리부</v>
      </c>
      <c r="E11" s="6" t="s">
        <v>25</v>
      </c>
      <c r="F11" s="7">
        <v>1200000</v>
      </c>
      <c r="G11" s="6">
        <v>3</v>
      </c>
      <c r="H11" s="7">
        <f t="shared" si="1"/>
        <v>50000</v>
      </c>
      <c r="I11" s="7">
        <f t="shared" si="2"/>
        <v>36000</v>
      </c>
      <c r="J11" s="8">
        <f t="shared" si="3"/>
        <v>1286000</v>
      </c>
    </row>
    <row r="12" spans="2:10" ht="17.100000000000001" customHeight="1" x14ac:dyDescent="0.3">
      <c r="B12" s="6" t="s">
        <v>30</v>
      </c>
      <c r="C12" s="6" t="s">
        <v>31</v>
      </c>
      <c r="D12" s="6" t="str">
        <f t="shared" si="0"/>
        <v>경리부</v>
      </c>
      <c r="E12" s="6" t="s">
        <v>25</v>
      </c>
      <c r="F12" s="7">
        <v>1200000</v>
      </c>
      <c r="G12" s="6">
        <v>1</v>
      </c>
      <c r="H12" s="7">
        <f t="shared" si="1"/>
        <v>50000</v>
      </c>
      <c r="I12" s="7">
        <f t="shared" si="2"/>
        <v>12000</v>
      </c>
      <c r="J12" s="8">
        <f t="shared" si="3"/>
        <v>1262000</v>
      </c>
    </row>
    <row r="13" spans="2:10" ht="17.100000000000001" customHeight="1" x14ac:dyDescent="0.3">
      <c r="B13" s="3" t="s">
        <v>32</v>
      </c>
      <c r="C13" s="6" t="s">
        <v>11</v>
      </c>
      <c r="D13" s="6" t="str">
        <f t="shared" si="0"/>
        <v>연구부</v>
      </c>
      <c r="E13" s="6" t="s">
        <v>12</v>
      </c>
      <c r="F13" s="7">
        <v>1500000</v>
      </c>
      <c r="G13" s="6">
        <v>6</v>
      </c>
      <c r="H13" s="7">
        <f t="shared" si="1"/>
        <v>200000</v>
      </c>
      <c r="I13" s="7">
        <f t="shared" si="2"/>
        <v>90000</v>
      </c>
      <c r="J13" s="8">
        <f t="shared" si="3"/>
        <v>1790000</v>
      </c>
    </row>
    <row r="14" spans="2:10" ht="17.100000000000001" customHeight="1" x14ac:dyDescent="0.3">
      <c r="B14" s="6" t="s">
        <v>33</v>
      </c>
      <c r="C14" s="6" t="s">
        <v>14</v>
      </c>
      <c r="D14" s="6" t="str">
        <f t="shared" si="0"/>
        <v>관리부</v>
      </c>
      <c r="E14" s="6" t="s">
        <v>15</v>
      </c>
      <c r="F14" s="7">
        <v>1400000</v>
      </c>
      <c r="G14" s="6">
        <v>5</v>
      </c>
      <c r="H14" s="7">
        <f t="shared" si="1"/>
        <v>150000</v>
      </c>
      <c r="I14" s="7">
        <f t="shared" si="2"/>
        <v>70000</v>
      </c>
      <c r="J14" s="8">
        <f t="shared" si="3"/>
        <v>1620000</v>
      </c>
    </row>
    <row r="15" spans="2:10" ht="17.100000000000001" customHeight="1" x14ac:dyDescent="0.3">
      <c r="B15" s="6" t="s">
        <v>34</v>
      </c>
      <c r="C15" s="6" t="s">
        <v>17</v>
      </c>
      <c r="D15" s="6" t="str">
        <f t="shared" si="0"/>
        <v>경리부</v>
      </c>
      <c r="E15" s="6" t="s">
        <v>15</v>
      </c>
      <c r="F15" s="7">
        <v>1400000</v>
      </c>
      <c r="G15" s="6">
        <v>5</v>
      </c>
      <c r="H15" s="7">
        <f t="shared" si="1"/>
        <v>150000</v>
      </c>
      <c r="I15" s="7">
        <f t="shared" si="2"/>
        <v>70000</v>
      </c>
      <c r="J15" s="8">
        <f t="shared" si="3"/>
        <v>1620000</v>
      </c>
    </row>
    <row r="16" spans="2:10" ht="17.100000000000001" customHeight="1" x14ac:dyDescent="0.3">
      <c r="B16" s="3" t="s">
        <v>35</v>
      </c>
      <c r="C16" s="6" t="s">
        <v>19</v>
      </c>
      <c r="D16" s="6" t="str">
        <f t="shared" si="0"/>
        <v>연구부</v>
      </c>
      <c r="E16" s="6" t="s">
        <v>20</v>
      </c>
      <c r="F16" s="7">
        <v>1300000</v>
      </c>
      <c r="G16" s="6">
        <v>4</v>
      </c>
      <c r="H16" s="7">
        <f t="shared" si="1"/>
        <v>100000</v>
      </c>
      <c r="I16" s="7">
        <f t="shared" si="2"/>
        <v>52000</v>
      </c>
      <c r="J16" s="8">
        <f t="shared" si="3"/>
        <v>1452000</v>
      </c>
    </row>
    <row r="17" spans="2:10" ht="17.100000000000001" customHeight="1" x14ac:dyDescent="0.3">
      <c r="B17" s="6" t="s">
        <v>36</v>
      </c>
      <c r="C17" s="6" t="s">
        <v>22</v>
      </c>
      <c r="D17" s="6" t="str">
        <f t="shared" si="0"/>
        <v>관리부</v>
      </c>
      <c r="E17" s="6" t="s">
        <v>20</v>
      </c>
      <c r="F17" s="7">
        <v>1300000</v>
      </c>
      <c r="G17" s="6">
        <v>5</v>
      </c>
      <c r="H17" s="7">
        <f t="shared" si="1"/>
        <v>100000</v>
      </c>
      <c r="I17" s="7">
        <f t="shared" si="2"/>
        <v>65000</v>
      </c>
      <c r="J17" s="8">
        <f t="shared" si="3"/>
        <v>1465000</v>
      </c>
    </row>
    <row r="18" spans="2:10" ht="17.100000000000001" customHeight="1" x14ac:dyDescent="0.3">
      <c r="B18" s="6" t="s">
        <v>37</v>
      </c>
      <c r="C18" s="6" t="s">
        <v>24</v>
      </c>
      <c r="D18" s="6" t="str">
        <f t="shared" si="0"/>
        <v>경리부</v>
      </c>
      <c r="E18" s="6" t="s">
        <v>25</v>
      </c>
      <c r="F18" s="7">
        <v>1200000</v>
      </c>
      <c r="G18" s="6">
        <v>7</v>
      </c>
      <c r="H18" s="7">
        <f t="shared" si="1"/>
        <v>50000</v>
      </c>
      <c r="I18" s="7">
        <f t="shared" si="2"/>
        <v>84000</v>
      </c>
      <c r="J18" s="8">
        <f t="shared" si="3"/>
        <v>1334000</v>
      </c>
    </row>
    <row r="19" spans="2:10" ht="17.100000000000001" customHeight="1" x14ac:dyDescent="0.3">
      <c r="B19" s="3" t="s">
        <v>38</v>
      </c>
      <c r="C19" s="6" t="s">
        <v>27</v>
      </c>
      <c r="D19" s="6" t="str">
        <f t="shared" si="0"/>
        <v>연구부</v>
      </c>
      <c r="E19" s="6" t="s">
        <v>25</v>
      </c>
      <c r="F19" s="7">
        <v>1200000</v>
      </c>
      <c r="G19" s="6">
        <v>2</v>
      </c>
      <c r="H19" s="7">
        <f t="shared" si="1"/>
        <v>50000</v>
      </c>
      <c r="I19" s="7">
        <f t="shared" si="2"/>
        <v>24000</v>
      </c>
      <c r="J19" s="8">
        <f t="shared" si="3"/>
        <v>1274000</v>
      </c>
    </row>
    <row r="20" spans="2:10" ht="17.100000000000001" customHeight="1" x14ac:dyDescent="0.3">
      <c r="B20" s="6" t="s">
        <v>39</v>
      </c>
      <c r="C20" s="6" t="s">
        <v>29</v>
      </c>
      <c r="D20" s="6" t="str">
        <f t="shared" si="0"/>
        <v>관리부</v>
      </c>
      <c r="E20" s="6" t="s">
        <v>25</v>
      </c>
      <c r="F20" s="7">
        <v>1200000</v>
      </c>
      <c r="G20" s="6">
        <v>3</v>
      </c>
      <c r="H20" s="7">
        <f t="shared" si="1"/>
        <v>50000</v>
      </c>
      <c r="I20" s="7">
        <f t="shared" si="2"/>
        <v>36000</v>
      </c>
      <c r="J20" s="8">
        <f t="shared" si="3"/>
        <v>1286000</v>
      </c>
    </row>
    <row r="21" spans="2:10" ht="17.100000000000001" customHeight="1" x14ac:dyDescent="0.3">
      <c r="B21" s="6" t="s">
        <v>40</v>
      </c>
      <c r="C21" s="6" t="s">
        <v>31</v>
      </c>
      <c r="D21" s="6" t="str">
        <f t="shared" si="0"/>
        <v>경리부</v>
      </c>
      <c r="E21" s="6" t="s">
        <v>25</v>
      </c>
      <c r="F21" s="7">
        <v>1200000</v>
      </c>
      <c r="G21" s="6">
        <v>1</v>
      </c>
      <c r="H21" s="7">
        <f t="shared" si="1"/>
        <v>50000</v>
      </c>
      <c r="I21" s="7">
        <f t="shared" si="2"/>
        <v>12000</v>
      </c>
      <c r="J21" s="8">
        <f t="shared" si="3"/>
        <v>1262000</v>
      </c>
    </row>
    <row r="22" spans="2:10" ht="17.100000000000001" customHeight="1" x14ac:dyDescent="0.3">
      <c r="B22" s="3" t="s">
        <v>41</v>
      </c>
      <c r="C22" s="6" t="s">
        <v>11</v>
      </c>
      <c r="D22" s="6" t="str">
        <f t="shared" si="0"/>
        <v>연구부</v>
      </c>
      <c r="E22" s="6" t="s">
        <v>12</v>
      </c>
      <c r="F22" s="7">
        <v>1500000</v>
      </c>
      <c r="G22" s="6">
        <v>6</v>
      </c>
      <c r="H22" s="7">
        <f t="shared" si="1"/>
        <v>200000</v>
      </c>
      <c r="I22" s="7">
        <f t="shared" si="2"/>
        <v>90000</v>
      </c>
      <c r="J22" s="8">
        <f t="shared" si="3"/>
        <v>1790000</v>
      </c>
    </row>
    <row r="23" spans="2:10" ht="17.100000000000001" customHeight="1" x14ac:dyDescent="0.3">
      <c r="B23" s="6" t="s">
        <v>42</v>
      </c>
      <c r="C23" s="6" t="s">
        <v>14</v>
      </c>
      <c r="D23" s="6" t="str">
        <f t="shared" si="0"/>
        <v>관리부</v>
      </c>
      <c r="E23" s="6" t="s">
        <v>15</v>
      </c>
      <c r="F23" s="7">
        <v>1400000</v>
      </c>
      <c r="G23" s="6">
        <v>5</v>
      </c>
      <c r="H23" s="7">
        <f t="shared" si="1"/>
        <v>150000</v>
      </c>
      <c r="I23" s="7">
        <f t="shared" si="2"/>
        <v>70000</v>
      </c>
      <c r="J23" s="8">
        <f t="shared" si="3"/>
        <v>1620000</v>
      </c>
    </row>
    <row r="24" spans="2:10" ht="17.100000000000001" customHeight="1" x14ac:dyDescent="0.3">
      <c r="B24" s="6" t="s">
        <v>43</v>
      </c>
      <c r="C24" s="6" t="s">
        <v>17</v>
      </c>
      <c r="D24" s="6" t="str">
        <f t="shared" si="0"/>
        <v>경리부</v>
      </c>
      <c r="E24" s="6" t="s">
        <v>15</v>
      </c>
      <c r="F24" s="7">
        <v>1400000</v>
      </c>
      <c r="G24" s="6">
        <v>5</v>
      </c>
      <c r="H24" s="7">
        <f t="shared" si="1"/>
        <v>150000</v>
      </c>
      <c r="I24" s="7">
        <f t="shared" si="2"/>
        <v>70000</v>
      </c>
      <c r="J24" s="8">
        <f t="shared" si="3"/>
        <v>1620000</v>
      </c>
    </row>
    <row r="25" spans="2:10" ht="17.100000000000001" customHeight="1" x14ac:dyDescent="0.3">
      <c r="B25" s="3" t="s">
        <v>44</v>
      </c>
      <c r="C25" s="6" t="s">
        <v>19</v>
      </c>
      <c r="D25" s="6" t="str">
        <f t="shared" si="0"/>
        <v>연구부</v>
      </c>
      <c r="E25" s="6" t="s">
        <v>20</v>
      </c>
      <c r="F25" s="7">
        <v>1300000</v>
      </c>
      <c r="G25" s="6">
        <v>4</v>
      </c>
      <c r="H25" s="7">
        <f t="shared" si="1"/>
        <v>100000</v>
      </c>
      <c r="I25" s="7">
        <f t="shared" si="2"/>
        <v>52000</v>
      </c>
      <c r="J25" s="8">
        <f t="shared" si="3"/>
        <v>1452000</v>
      </c>
    </row>
    <row r="26" spans="2:10" ht="17.100000000000001" customHeight="1" x14ac:dyDescent="0.3">
      <c r="B26" s="6" t="s">
        <v>45</v>
      </c>
      <c r="C26" s="6" t="s">
        <v>22</v>
      </c>
      <c r="D26" s="6" t="str">
        <f t="shared" si="0"/>
        <v>관리부</v>
      </c>
      <c r="E26" s="6" t="s">
        <v>20</v>
      </c>
      <c r="F26" s="7">
        <v>1300000</v>
      </c>
      <c r="G26" s="6">
        <v>5</v>
      </c>
      <c r="H26" s="7">
        <f t="shared" si="1"/>
        <v>100000</v>
      </c>
      <c r="I26" s="7">
        <f t="shared" si="2"/>
        <v>65000</v>
      </c>
      <c r="J26" s="8">
        <f t="shared" si="3"/>
        <v>1465000</v>
      </c>
    </row>
    <row r="27" spans="2:10" ht="17.100000000000001" customHeight="1" x14ac:dyDescent="0.3">
      <c r="B27" s="6" t="s">
        <v>46</v>
      </c>
      <c r="C27" s="6" t="s">
        <v>24</v>
      </c>
      <c r="D27" s="6" t="str">
        <f t="shared" si="0"/>
        <v>경리부</v>
      </c>
      <c r="E27" s="6" t="s">
        <v>25</v>
      </c>
      <c r="F27" s="7">
        <v>1200000</v>
      </c>
      <c r="G27" s="6">
        <v>7</v>
      </c>
      <c r="H27" s="7">
        <f t="shared" si="1"/>
        <v>50000</v>
      </c>
      <c r="I27" s="7">
        <f t="shared" si="2"/>
        <v>84000</v>
      </c>
      <c r="J27" s="8">
        <f t="shared" si="3"/>
        <v>1334000</v>
      </c>
    </row>
    <row r="28" spans="2:10" ht="17.100000000000001" customHeight="1" x14ac:dyDescent="0.3">
      <c r="B28" s="3" t="s">
        <v>47</v>
      </c>
      <c r="C28" s="6" t="s">
        <v>27</v>
      </c>
      <c r="D28" s="6" t="str">
        <f t="shared" si="0"/>
        <v>연구부</v>
      </c>
      <c r="E28" s="6" t="s">
        <v>25</v>
      </c>
      <c r="F28" s="7">
        <v>1200000</v>
      </c>
      <c r="G28" s="6">
        <v>2</v>
      </c>
      <c r="H28" s="7">
        <f t="shared" si="1"/>
        <v>50000</v>
      </c>
      <c r="I28" s="7">
        <f t="shared" si="2"/>
        <v>24000</v>
      </c>
      <c r="J28" s="8">
        <f t="shared" si="3"/>
        <v>1274000</v>
      </c>
    </row>
    <row r="29" spans="2:10" ht="17.100000000000001" customHeight="1" x14ac:dyDescent="0.3">
      <c r="B29" s="6" t="s">
        <v>48</v>
      </c>
      <c r="C29" s="6" t="s">
        <v>29</v>
      </c>
      <c r="D29" s="6" t="str">
        <f t="shared" si="0"/>
        <v>관리부</v>
      </c>
      <c r="E29" s="6" t="s">
        <v>25</v>
      </c>
      <c r="F29" s="7">
        <v>1200000</v>
      </c>
      <c r="G29" s="6">
        <v>3</v>
      </c>
      <c r="H29" s="7">
        <f t="shared" si="1"/>
        <v>50000</v>
      </c>
      <c r="I29" s="7">
        <f t="shared" si="2"/>
        <v>36000</v>
      </c>
      <c r="J29" s="8">
        <f t="shared" si="3"/>
        <v>1286000</v>
      </c>
    </row>
    <row r="30" spans="2:10" ht="17.100000000000001" customHeight="1" x14ac:dyDescent="0.3">
      <c r="B30" s="6" t="s">
        <v>49</v>
      </c>
      <c r="C30" s="6" t="s">
        <v>31</v>
      </c>
      <c r="D30" s="6" t="str">
        <f t="shared" si="0"/>
        <v>경리부</v>
      </c>
      <c r="E30" s="6" t="s">
        <v>25</v>
      </c>
      <c r="F30" s="7">
        <v>1200000</v>
      </c>
      <c r="G30" s="6">
        <v>1</v>
      </c>
      <c r="H30" s="7">
        <f t="shared" si="1"/>
        <v>50000</v>
      </c>
      <c r="I30" s="7">
        <f t="shared" si="2"/>
        <v>12000</v>
      </c>
      <c r="J30" s="8">
        <f t="shared" si="3"/>
        <v>1262000</v>
      </c>
    </row>
    <row r="31" spans="2:10" ht="17.100000000000001" customHeight="1" x14ac:dyDescent="0.3">
      <c r="B31" s="3" t="s">
        <v>50</v>
      </c>
      <c r="C31" s="6" t="s">
        <v>11</v>
      </c>
      <c r="D31" s="6" t="str">
        <f t="shared" si="0"/>
        <v>연구부</v>
      </c>
      <c r="E31" s="6" t="s">
        <v>12</v>
      </c>
      <c r="F31" s="7">
        <v>1500000</v>
      </c>
      <c r="G31" s="6">
        <v>6</v>
      </c>
      <c r="H31" s="7">
        <f t="shared" si="1"/>
        <v>200000</v>
      </c>
      <c r="I31" s="7">
        <f t="shared" si="2"/>
        <v>90000</v>
      </c>
      <c r="J31" s="8">
        <f t="shared" si="3"/>
        <v>1790000</v>
      </c>
    </row>
    <row r="32" spans="2:10" ht="17.100000000000001" customHeight="1" x14ac:dyDescent="0.3">
      <c r="B32" s="6" t="s">
        <v>51</v>
      </c>
      <c r="C32" s="6" t="s">
        <v>14</v>
      </c>
      <c r="D32" s="6" t="str">
        <f t="shared" si="0"/>
        <v>관리부</v>
      </c>
      <c r="E32" s="6" t="s">
        <v>15</v>
      </c>
      <c r="F32" s="7">
        <v>1400000</v>
      </c>
      <c r="G32" s="6">
        <v>5</v>
      </c>
      <c r="H32" s="7">
        <f t="shared" si="1"/>
        <v>150000</v>
      </c>
      <c r="I32" s="7">
        <f t="shared" si="2"/>
        <v>70000</v>
      </c>
      <c r="J32" s="8">
        <f t="shared" si="3"/>
        <v>1620000</v>
      </c>
    </row>
    <row r="33" spans="2:10" ht="17.100000000000001" customHeight="1" x14ac:dyDescent="0.3">
      <c r="B33" s="6" t="s">
        <v>52</v>
      </c>
      <c r="C33" s="6" t="s">
        <v>17</v>
      </c>
      <c r="D33" s="6" t="str">
        <f t="shared" si="0"/>
        <v>경리부</v>
      </c>
      <c r="E33" s="6" t="s">
        <v>15</v>
      </c>
      <c r="F33" s="7">
        <v>1400000</v>
      </c>
      <c r="G33" s="6">
        <v>5</v>
      </c>
      <c r="H33" s="7">
        <f t="shared" si="1"/>
        <v>150000</v>
      </c>
      <c r="I33" s="7">
        <f t="shared" si="2"/>
        <v>70000</v>
      </c>
      <c r="J33" s="8">
        <f t="shared" si="3"/>
        <v>1620000</v>
      </c>
    </row>
    <row r="34" spans="2:10" ht="17.100000000000001" customHeight="1" x14ac:dyDescent="0.3">
      <c r="B34" s="3" t="s">
        <v>53</v>
      </c>
      <c r="C34" s="6" t="s">
        <v>19</v>
      </c>
      <c r="D34" s="6" t="str">
        <f t="shared" si="0"/>
        <v>연구부</v>
      </c>
      <c r="E34" s="6" t="s">
        <v>20</v>
      </c>
      <c r="F34" s="7">
        <v>1300000</v>
      </c>
      <c r="G34" s="6">
        <v>4</v>
      </c>
      <c r="H34" s="7">
        <f t="shared" si="1"/>
        <v>100000</v>
      </c>
      <c r="I34" s="7">
        <f t="shared" si="2"/>
        <v>52000</v>
      </c>
      <c r="J34" s="8">
        <f t="shared" si="3"/>
        <v>1452000</v>
      </c>
    </row>
    <row r="35" spans="2:10" ht="17.100000000000001" customHeight="1" x14ac:dyDescent="0.3">
      <c r="B35" s="6" t="s">
        <v>54</v>
      </c>
      <c r="C35" s="6" t="s">
        <v>11</v>
      </c>
      <c r="D35" s="6" t="str">
        <f t="shared" si="0"/>
        <v>관리부</v>
      </c>
      <c r="E35" s="6" t="s">
        <v>12</v>
      </c>
      <c r="F35" s="7">
        <v>1500000</v>
      </c>
      <c r="G35" s="6">
        <v>5</v>
      </c>
      <c r="H35" s="7">
        <f t="shared" si="1"/>
        <v>200000</v>
      </c>
      <c r="I35" s="7">
        <f t="shared" si="2"/>
        <v>75000</v>
      </c>
      <c r="J35" s="8">
        <f t="shared" si="3"/>
        <v>1775000</v>
      </c>
    </row>
    <row r="36" spans="2:10" ht="17.100000000000001" customHeight="1" x14ac:dyDescent="0.3">
      <c r="B36" s="6" t="s">
        <v>55</v>
      </c>
      <c r="C36" s="6" t="s">
        <v>14</v>
      </c>
      <c r="D36" s="6" t="str">
        <f t="shared" si="0"/>
        <v>경리부</v>
      </c>
      <c r="E36" s="6" t="s">
        <v>15</v>
      </c>
      <c r="F36" s="7">
        <v>1400000</v>
      </c>
      <c r="G36" s="6">
        <v>7</v>
      </c>
      <c r="H36" s="7">
        <f t="shared" si="1"/>
        <v>150000</v>
      </c>
      <c r="I36" s="7">
        <f t="shared" si="2"/>
        <v>98000</v>
      </c>
      <c r="J36" s="8">
        <f t="shared" si="3"/>
        <v>1648000</v>
      </c>
    </row>
    <row r="37" spans="2:10" ht="17.100000000000001" customHeight="1" x14ac:dyDescent="0.3">
      <c r="B37" s="3" t="s">
        <v>56</v>
      </c>
      <c r="C37" s="6" t="s">
        <v>17</v>
      </c>
      <c r="D37" s="6" t="str">
        <f t="shared" si="0"/>
        <v>연구부</v>
      </c>
      <c r="E37" s="6" t="s">
        <v>15</v>
      </c>
      <c r="F37" s="7">
        <v>1400000</v>
      </c>
      <c r="G37" s="6">
        <v>6</v>
      </c>
      <c r="H37" s="7">
        <f t="shared" si="1"/>
        <v>150000</v>
      </c>
      <c r="I37" s="7">
        <f t="shared" si="2"/>
        <v>84000</v>
      </c>
      <c r="J37" s="8">
        <f t="shared" si="3"/>
        <v>1634000</v>
      </c>
    </row>
    <row r="38" spans="2:10" ht="17.100000000000001" customHeight="1" x14ac:dyDescent="0.3">
      <c r="B38" s="6" t="s">
        <v>57</v>
      </c>
      <c r="C38" s="6" t="s">
        <v>19</v>
      </c>
      <c r="D38" s="6" t="str">
        <f t="shared" si="0"/>
        <v>관리부</v>
      </c>
      <c r="E38" s="6" t="s">
        <v>20</v>
      </c>
      <c r="F38" s="7">
        <v>1300000</v>
      </c>
      <c r="G38" s="6">
        <v>5</v>
      </c>
      <c r="H38" s="7">
        <f t="shared" si="1"/>
        <v>100000</v>
      </c>
      <c r="I38" s="7">
        <f t="shared" si="2"/>
        <v>65000</v>
      </c>
      <c r="J38" s="8">
        <f t="shared" si="3"/>
        <v>1465000</v>
      </c>
    </row>
    <row r="39" spans="2:10" ht="17.100000000000001" customHeight="1" x14ac:dyDescent="0.3">
      <c r="B39" s="6" t="s">
        <v>58</v>
      </c>
      <c r="C39" s="6" t="s">
        <v>22</v>
      </c>
      <c r="D39" s="6" t="str">
        <f t="shared" si="0"/>
        <v>경리부</v>
      </c>
      <c r="E39" s="6" t="s">
        <v>20</v>
      </c>
      <c r="F39" s="7">
        <v>1300000</v>
      </c>
      <c r="G39" s="6">
        <v>5</v>
      </c>
      <c r="H39" s="7">
        <f t="shared" si="1"/>
        <v>100000</v>
      </c>
      <c r="I39" s="7">
        <f t="shared" si="2"/>
        <v>65000</v>
      </c>
      <c r="J39" s="8">
        <f t="shared" si="3"/>
        <v>1465000</v>
      </c>
    </row>
    <row r="40" spans="2:10" ht="17.100000000000001" customHeight="1" x14ac:dyDescent="0.3">
      <c r="B40" s="3" t="s">
        <v>59</v>
      </c>
      <c r="C40" s="6" t="s">
        <v>24</v>
      </c>
      <c r="D40" s="6" t="str">
        <f t="shared" si="0"/>
        <v>연구부</v>
      </c>
      <c r="E40" s="6" t="s">
        <v>25</v>
      </c>
      <c r="F40" s="7">
        <v>1200000</v>
      </c>
      <c r="G40" s="6">
        <v>4</v>
      </c>
      <c r="H40" s="7">
        <f t="shared" si="1"/>
        <v>50000</v>
      </c>
      <c r="I40" s="7">
        <f t="shared" si="2"/>
        <v>48000</v>
      </c>
      <c r="J40" s="8">
        <f t="shared" si="3"/>
        <v>1298000</v>
      </c>
    </row>
    <row r="41" spans="2:10" ht="17.100000000000001" customHeight="1" x14ac:dyDescent="0.3">
      <c r="B41" s="6" t="s">
        <v>60</v>
      </c>
      <c r="C41" s="6" t="s">
        <v>27</v>
      </c>
      <c r="D41" s="6" t="str">
        <f t="shared" si="0"/>
        <v>관리부</v>
      </c>
      <c r="E41" s="6" t="s">
        <v>25</v>
      </c>
      <c r="F41" s="7">
        <v>1200000</v>
      </c>
      <c r="G41" s="6">
        <v>5</v>
      </c>
      <c r="H41" s="7">
        <f t="shared" si="1"/>
        <v>50000</v>
      </c>
      <c r="I41" s="7">
        <f t="shared" si="2"/>
        <v>60000</v>
      </c>
      <c r="J41" s="8">
        <f t="shared" si="3"/>
        <v>1310000</v>
      </c>
    </row>
    <row r="42" spans="2:10" ht="17.100000000000001" customHeight="1" x14ac:dyDescent="0.3">
      <c r="B42" s="6" t="s">
        <v>61</v>
      </c>
      <c r="C42" s="6" t="s">
        <v>29</v>
      </c>
      <c r="D42" s="6" t="str">
        <f t="shared" si="0"/>
        <v>경리부</v>
      </c>
      <c r="E42" s="6" t="s">
        <v>25</v>
      </c>
      <c r="F42" s="7">
        <v>1200000</v>
      </c>
      <c r="G42" s="6">
        <v>7</v>
      </c>
      <c r="H42" s="7">
        <f t="shared" si="1"/>
        <v>50000</v>
      </c>
      <c r="I42" s="7">
        <f t="shared" si="2"/>
        <v>84000</v>
      </c>
      <c r="J42" s="8">
        <f t="shared" si="3"/>
        <v>1334000</v>
      </c>
    </row>
    <row r="43" spans="2:10" ht="17.100000000000001" customHeight="1" x14ac:dyDescent="0.3">
      <c r="B43" s="3" t="s">
        <v>62</v>
      </c>
      <c r="C43" s="6" t="s">
        <v>31</v>
      </c>
      <c r="D43" s="6" t="str">
        <f t="shared" si="0"/>
        <v>연구부</v>
      </c>
      <c r="E43" s="6" t="s">
        <v>25</v>
      </c>
      <c r="F43" s="7">
        <v>1200000</v>
      </c>
      <c r="G43" s="6">
        <v>2</v>
      </c>
      <c r="H43" s="7">
        <f t="shared" si="1"/>
        <v>50000</v>
      </c>
      <c r="I43" s="7">
        <f t="shared" si="2"/>
        <v>24000</v>
      </c>
      <c r="J43" s="8">
        <f t="shared" si="3"/>
        <v>1274000</v>
      </c>
    </row>
    <row r="44" spans="2:10" ht="17.100000000000001" customHeight="1" x14ac:dyDescent="0.3">
      <c r="B44" s="6" t="s">
        <v>63</v>
      </c>
      <c r="C44" s="6" t="s">
        <v>11</v>
      </c>
      <c r="D44" s="6" t="str">
        <f t="shared" si="0"/>
        <v>관리부</v>
      </c>
      <c r="E44" s="6" t="s">
        <v>12</v>
      </c>
      <c r="F44" s="7">
        <v>1500000</v>
      </c>
      <c r="G44" s="6">
        <v>3</v>
      </c>
      <c r="H44" s="7">
        <f t="shared" si="1"/>
        <v>200000</v>
      </c>
      <c r="I44" s="7">
        <f t="shared" si="2"/>
        <v>45000</v>
      </c>
      <c r="J44" s="8">
        <f t="shared" si="3"/>
        <v>1745000</v>
      </c>
    </row>
    <row r="45" spans="2:10" ht="17.100000000000001" customHeight="1" x14ac:dyDescent="0.3">
      <c r="B45" s="6" t="s">
        <v>64</v>
      </c>
      <c r="C45" s="6" t="s">
        <v>14</v>
      </c>
      <c r="D45" s="6" t="str">
        <f t="shared" si="0"/>
        <v>경리부</v>
      </c>
      <c r="E45" s="6" t="s">
        <v>15</v>
      </c>
      <c r="F45" s="7">
        <v>1400000</v>
      </c>
      <c r="G45" s="6">
        <v>1</v>
      </c>
      <c r="H45" s="7">
        <f t="shared" si="1"/>
        <v>150000</v>
      </c>
      <c r="I45" s="7">
        <f t="shared" si="2"/>
        <v>14000</v>
      </c>
      <c r="J45" s="8">
        <f t="shared" si="3"/>
        <v>1564000</v>
      </c>
    </row>
    <row r="46" spans="2:10" ht="17.100000000000001" customHeight="1" x14ac:dyDescent="0.3">
      <c r="B46" s="3" t="s">
        <v>65</v>
      </c>
      <c r="C46" s="6" t="s">
        <v>17</v>
      </c>
      <c r="D46" s="6" t="str">
        <f t="shared" si="0"/>
        <v>연구부</v>
      </c>
      <c r="E46" s="6" t="s">
        <v>15</v>
      </c>
      <c r="F46" s="7">
        <v>1400000</v>
      </c>
      <c r="G46" s="6">
        <v>6</v>
      </c>
      <c r="H46" s="7">
        <f t="shared" si="1"/>
        <v>150000</v>
      </c>
      <c r="I46" s="7">
        <f t="shared" si="2"/>
        <v>84000</v>
      </c>
      <c r="J46" s="8">
        <f t="shared" si="3"/>
        <v>1634000</v>
      </c>
    </row>
    <row r="47" spans="2:10" ht="17.100000000000001" customHeight="1" x14ac:dyDescent="0.3">
      <c r="B47" s="6" t="s">
        <v>66</v>
      </c>
      <c r="C47" s="6" t="s">
        <v>19</v>
      </c>
      <c r="D47" s="6" t="str">
        <f t="shared" si="0"/>
        <v>관리부</v>
      </c>
      <c r="E47" s="6" t="s">
        <v>20</v>
      </c>
      <c r="F47" s="7">
        <v>1300000</v>
      </c>
      <c r="G47" s="6">
        <v>5</v>
      </c>
      <c r="H47" s="7">
        <f t="shared" si="1"/>
        <v>100000</v>
      </c>
      <c r="I47" s="7">
        <f t="shared" si="2"/>
        <v>65000</v>
      </c>
      <c r="J47" s="8">
        <f t="shared" si="3"/>
        <v>1465000</v>
      </c>
    </row>
    <row r="48" spans="2:10" ht="17.100000000000001" customHeight="1" x14ac:dyDescent="0.3">
      <c r="B48" s="6" t="s">
        <v>67</v>
      </c>
      <c r="C48" s="6" t="s">
        <v>22</v>
      </c>
      <c r="D48" s="6" t="str">
        <f t="shared" si="0"/>
        <v>경리부</v>
      </c>
      <c r="E48" s="6" t="s">
        <v>20</v>
      </c>
      <c r="F48" s="7">
        <v>1300000</v>
      </c>
      <c r="G48" s="6">
        <v>5</v>
      </c>
      <c r="H48" s="7">
        <f t="shared" si="1"/>
        <v>100000</v>
      </c>
      <c r="I48" s="7">
        <f t="shared" si="2"/>
        <v>65000</v>
      </c>
      <c r="J48" s="8">
        <f t="shared" si="3"/>
        <v>1465000</v>
      </c>
    </row>
    <row r="49" spans="2:10" ht="17.100000000000001" customHeight="1" x14ac:dyDescent="0.3">
      <c r="B49" s="3" t="s">
        <v>68</v>
      </c>
      <c r="C49" s="6" t="s">
        <v>24</v>
      </c>
      <c r="D49" s="6" t="str">
        <f t="shared" si="0"/>
        <v>연구부</v>
      </c>
      <c r="E49" s="6" t="s">
        <v>25</v>
      </c>
      <c r="F49" s="7">
        <v>1200000</v>
      </c>
      <c r="G49" s="6">
        <v>4</v>
      </c>
      <c r="H49" s="7">
        <f t="shared" si="1"/>
        <v>50000</v>
      </c>
      <c r="I49" s="7">
        <f t="shared" si="2"/>
        <v>48000</v>
      </c>
      <c r="J49" s="8">
        <f t="shared" si="3"/>
        <v>1298000</v>
      </c>
    </row>
    <row r="50" spans="2:10" ht="17.100000000000001" customHeight="1" x14ac:dyDescent="0.3">
      <c r="B50" s="6" t="s">
        <v>69</v>
      </c>
      <c r="C50" s="6" t="s">
        <v>27</v>
      </c>
      <c r="D50" s="6" t="str">
        <f t="shared" si="0"/>
        <v>관리부</v>
      </c>
      <c r="E50" s="6" t="s">
        <v>25</v>
      </c>
      <c r="F50" s="7">
        <v>1200000</v>
      </c>
      <c r="G50" s="6">
        <v>5</v>
      </c>
      <c r="H50" s="7">
        <f t="shared" si="1"/>
        <v>50000</v>
      </c>
      <c r="I50" s="7">
        <f t="shared" si="2"/>
        <v>60000</v>
      </c>
      <c r="J50" s="8">
        <f t="shared" si="3"/>
        <v>1310000</v>
      </c>
    </row>
    <row r="51" spans="2:10" ht="17.100000000000001" customHeight="1" x14ac:dyDescent="0.3">
      <c r="B51" s="6" t="s">
        <v>70</v>
      </c>
      <c r="C51" s="6" t="s">
        <v>29</v>
      </c>
      <c r="D51" s="6" t="str">
        <f t="shared" si="0"/>
        <v>경리부</v>
      </c>
      <c r="E51" s="6" t="s">
        <v>25</v>
      </c>
      <c r="F51" s="7">
        <v>1200000</v>
      </c>
      <c r="G51" s="6">
        <v>7</v>
      </c>
      <c r="H51" s="7">
        <f t="shared" si="1"/>
        <v>50000</v>
      </c>
      <c r="I51" s="7">
        <f t="shared" si="2"/>
        <v>84000</v>
      </c>
      <c r="J51" s="8">
        <f t="shared" si="3"/>
        <v>1334000</v>
      </c>
    </row>
    <row r="52" spans="2:10" ht="17.100000000000001" customHeight="1" x14ac:dyDescent="0.3">
      <c r="B52" s="3" t="s">
        <v>71</v>
      </c>
      <c r="C52" s="6" t="s">
        <v>31</v>
      </c>
      <c r="D52" s="6" t="str">
        <f t="shared" si="0"/>
        <v>연구부</v>
      </c>
      <c r="E52" s="6" t="s">
        <v>25</v>
      </c>
      <c r="F52" s="7">
        <v>1200000</v>
      </c>
      <c r="G52" s="6">
        <v>2</v>
      </c>
      <c r="H52" s="7">
        <f t="shared" si="1"/>
        <v>50000</v>
      </c>
      <c r="I52" s="7">
        <f t="shared" si="2"/>
        <v>24000</v>
      </c>
      <c r="J52" s="8">
        <f t="shared" si="3"/>
        <v>1274000</v>
      </c>
    </row>
    <row r="53" spans="2:10" ht="17.100000000000001" customHeight="1" x14ac:dyDescent="0.3">
      <c r="B53" s="6" t="s">
        <v>72</v>
      </c>
      <c r="C53" s="6" t="s">
        <v>11</v>
      </c>
      <c r="D53" s="6" t="str">
        <f t="shared" si="0"/>
        <v>관리부</v>
      </c>
      <c r="E53" s="6" t="s">
        <v>12</v>
      </c>
      <c r="F53" s="7">
        <v>1500000</v>
      </c>
      <c r="G53" s="6">
        <v>3</v>
      </c>
      <c r="H53" s="7">
        <f t="shared" si="1"/>
        <v>200000</v>
      </c>
      <c r="I53" s="7">
        <f t="shared" si="2"/>
        <v>45000</v>
      </c>
      <c r="J53" s="8">
        <f t="shared" si="3"/>
        <v>1745000</v>
      </c>
    </row>
    <row r="54" spans="2:10" ht="17.100000000000001" customHeight="1" x14ac:dyDescent="0.3">
      <c r="B54" s="6" t="s">
        <v>73</v>
      </c>
      <c r="C54" s="6" t="s">
        <v>14</v>
      </c>
      <c r="D54" s="6" t="str">
        <f t="shared" si="0"/>
        <v>경리부</v>
      </c>
      <c r="E54" s="6" t="s">
        <v>15</v>
      </c>
      <c r="F54" s="7">
        <v>1400000</v>
      </c>
      <c r="G54" s="6">
        <v>1</v>
      </c>
      <c r="H54" s="7">
        <f t="shared" si="1"/>
        <v>150000</v>
      </c>
      <c r="I54" s="7">
        <f t="shared" si="2"/>
        <v>14000</v>
      </c>
      <c r="J54" s="8">
        <f t="shared" si="3"/>
        <v>1564000</v>
      </c>
    </row>
    <row r="55" spans="2:10" ht="17.100000000000001" customHeight="1" x14ac:dyDescent="0.3">
      <c r="B55" s="3" t="s">
        <v>74</v>
      </c>
      <c r="C55" s="6" t="s">
        <v>17</v>
      </c>
      <c r="D55" s="6" t="str">
        <f t="shared" si="0"/>
        <v>연구부</v>
      </c>
      <c r="E55" s="6" t="s">
        <v>15</v>
      </c>
      <c r="F55" s="7">
        <v>1400000</v>
      </c>
      <c r="G55" s="6">
        <v>6</v>
      </c>
      <c r="H55" s="7">
        <f t="shared" si="1"/>
        <v>150000</v>
      </c>
      <c r="I55" s="7">
        <f t="shared" si="2"/>
        <v>84000</v>
      </c>
      <c r="J55" s="8">
        <f t="shared" si="3"/>
        <v>1634000</v>
      </c>
    </row>
    <row r="56" spans="2:10" ht="17.100000000000001" customHeight="1" x14ac:dyDescent="0.3">
      <c r="B56" s="6" t="s">
        <v>75</v>
      </c>
      <c r="C56" s="6" t="s">
        <v>19</v>
      </c>
      <c r="D56" s="6" t="str">
        <f t="shared" si="0"/>
        <v>관리부</v>
      </c>
      <c r="E56" s="6" t="s">
        <v>20</v>
      </c>
      <c r="F56" s="7">
        <v>1300000</v>
      </c>
      <c r="G56" s="6">
        <v>5</v>
      </c>
      <c r="H56" s="7">
        <f t="shared" si="1"/>
        <v>100000</v>
      </c>
      <c r="I56" s="7">
        <f t="shared" si="2"/>
        <v>65000</v>
      </c>
      <c r="J56" s="8">
        <f t="shared" si="3"/>
        <v>1465000</v>
      </c>
    </row>
    <row r="57" spans="2:10" ht="17.100000000000001" customHeight="1" x14ac:dyDescent="0.3">
      <c r="B57" s="6" t="s">
        <v>76</v>
      </c>
      <c r="C57" s="6" t="s">
        <v>22</v>
      </c>
      <c r="D57" s="6" t="str">
        <f t="shared" si="0"/>
        <v>경리부</v>
      </c>
      <c r="E57" s="6" t="s">
        <v>20</v>
      </c>
      <c r="F57" s="7">
        <v>1300000</v>
      </c>
      <c r="G57" s="6">
        <v>6</v>
      </c>
      <c r="H57" s="7">
        <f t="shared" si="1"/>
        <v>100000</v>
      </c>
      <c r="I57" s="7">
        <f t="shared" si="2"/>
        <v>78000</v>
      </c>
      <c r="J57" s="8">
        <f t="shared" si="3"/>
        <v>1478000</v>
      </c>
    </row>
    <row r="58" spans="2:10" ht="17.100000000000001" customHeight="1" x14ac:dyDescent="0.3">
      <c r="B58" s="3" t="s">
        <v>77</v>
      </c>
      <c r="C58" s="6" t="s">
        <v>24</v>
      </c>
      <c r="D58" s="6" t="str">
        <f t="shared" si="0"/>
        <v>연구부</v>
      </c>
      <c r="E58" s="6" t="s">
        <v>25</v>
      </c>
      <c r="F58" s="7">
        <v>1200000</v>
      </c>
      <c r="G58" s="6">
        <v>5</v>
      </c>
      <c r="H58" s="7">
        <f t="shared" si="1"/>
        <v>50000</v>
      </c>
      <c r="I58" s="7">
        <f t="shared" si="2"/>
        <v>60000</v>
      </c>
      <c r="J58" s="8">
        <f t="shared" si="3"/>
        <v>1310000</v>
      </c>
    </row>
    <row r="59" spans="2:10" ht="17.100000000000001" customHeight="1" x14ac:dyDescent="0.3">
      <c r="B59" s="6" t="s">
        <v>78</v>
      </c>
      <c r="C59" s="6" t="s">
        <v>27</v>
      </c>
      <c r="D59" s="6" t="str">
        <f t="shared" si="0"/>
        <v>관리부</v>
      </c>
      <c r="E59" s="6" t="s">
        <v>25</v>
      </c>
      <c r="F59" s="7">
        <v>1200000</v>
      </c>
      <c r="G59" s="6">
        <v>5</v>
      </c>
      <c r="H59" s="7">
        <f t="shared" si="1"/>
        <v>50000</v>
      </c>
      <c r="I59" s="7">
        <f t="shared" si="2"/>
        <v>60000</v>
      </c>
      <c r="J59" s="8">
        <f t="shared" si="3"/>
        <v>1310000</v>
      </c>
    </row>
    <row r="60" spans="2:10" ht="17.100000000000001" customHeight="1" x14ac:dyDescent="0.3">
      <c r="B60" s="6" t="s">
        <v>79</v>
      </c>
      <c r="C60" s="6" t="s">
        <v>29</v>
      </c>
      <c r="D60" s="6" t="str">
        <f t="shared" si="0"/>
        <v>경리부</v>
      </c>
      <c r="E60" s="6" t="s">
        <v>25</v>
      </c>
      <c r="F60" s="7">
        <v>1200000</v>
      </c>
      <c r="G60" s="6">
        <v>4</v>
      </c>
      <c r="H60" s="7">
        <f t="shared" si="1"/>
        <v>50000</v>
      </c>
      <c r="I60" s="7">
        <f t="shared" si="2"/>
        <v>48000</v>
      </c>
      <c r="J60" s="8">
        <f t="shared" si="3"/>
        <v>1298000</v>
      </c>
    </row>
    <row r="61" spans="2:10" ht="17.100000000000001" customHeight="1" x14ac:dyDescent="0.3">
      <c r="B61" s="3" t="s">
        <v>80</v>
      </c>
      <c r="C61" s="6" t="s">
        <v>31</v>
      </c>
      <c r="D61" s="6" t="str">
        <f t="shared" si="0"/>
        <v>연구부</v>
      </c>
      <c r="E61" s="6" t="s">
        <v>25</v>
      </c>
      <c r="F61" s="7">
        <v>1200000</v>
      </c>
      <c r="G61" s="6">
        <v>5</v>
      </c>
      <c r="H61" s="7">
        <f t="shared" si="1"/>
        <v>50000</v>
      </c>
      <c r="I61" s="7">
        <f t="shared" si="2"/>
        <v>60000</v>
      </c>
      <c r="J61" s="8">
        <f t="shared" si="3"/>
        <v>1310000</v>
      </c>
    </row>
    <row r="62" spans="2:10" ht="17.100000000000001" customHeight="1" x14ac:dyDescent="0.3">
      <c r="B62" s="6" t="s">
        <v>81</v>
      </c>
      <c r="C62" s="6" t="s">
        <v>11</v>
      </c>
      <c r="D62" s="6" t="str">
        <f t="shared" si="0"/>
        <v>관리부</v>
      </c>
      <c r="E62" s="6" t="s">
        <v>12</v>
      </c>
      <c r="F62" s="7">
        <v>1500000</v>
      </c>
      <c r="G62" s="6">
        <v>7</v>
      </c>
      <c r="H62" s="7">
        <f t="shared" si="1"/>
        <v>200000</v>
      </c>
      <c r="I62" s="7">
        <f t="shared" si="2"/>
        <v>105000</v>
      </c>
      <c r="J62" s="8">
        <f t="shared" si="3"/>
        <v>1805000</v>
      </c>
    </row>
    <row r="63" spans="2:10" ht="17.100000000000001" customHeight="1" x14ac:dyDescent="0.3">
      <c r="B63" s="6" t="s">
        <v>82</v>
      </c>
      <c r="C63" s="6" t="s">
        <v>14</v>
      </c>
      <c r="D63" s="6" t="str">
        <f t="shared" si="0"/>
        <v>경리부</v>
      </c>
      <c r="E63" s="6" t="s">
        <v>15</v>
      </c>
      <c r="F63" s="7">
        <v>1400000</v>
      </c>
      <c r="G63" s="6">
        <v>2</v>
      </c>
      <c r="H63" s="7">
        <f t="shared" si="1"/>
        <v>150000</v>
      </c>
      <c r="I63" s="7">
        <f t="shared" si="2"/>
        <v>28000</v>
      </c>
      <c r="J63" s="8">
        <f t="shared" si="3"/>
        <v>1578000</v>
      </c>
    </row>
    <row r="64" spans="2:10" ht="17.100000000000001" customHeight="1" x14ac:dyDescent="0.3">
      <c r="B64" s="3" t="s">
        <v>83</v>
      </c>
      <c r="C64" s="6" t="s">
        <v>17</v>
      </c>
      <c r="D64" s="6" t="str">
        <f t="shared" si="0"/>
        <v>연구부</v>
      </c>
      <c r="E64" s="6" t="s">
        <v>15</v>
      </c>
      <c r="F64" s="7">
        <v>1400000</v>
      </c>
      <c r="G64" s="6">
        <v>3</v>
      </c>
      <c r="H64" s="7">
        <f t="shared" si="1"/>
        <v>150000</v>
      </c>
      <c r="I64" s="7">
        <f t="shared" si="2"/>
        <v>42000</v>
      </c>
      <c r="J64" s="8">
        <f t="shared" si="3"/>
        <v>1592000</v>
      </c>
    </row>
    <row r="65" spans="2:10" ht="17.100000000000001" customHeight="1" x14ac:dyDescent="0.3">
      <c r="B65" s="6" t="s">
        <v>84</v>
      </c>
      <c r="C65" s="6" t="s">
        <v>19</v>
      </c>
      <c r="D65" s="6" t="str">
        <f t="shared" si="0"/>
        <v>관리부</v>
      </c>
      <c r="E65" s="6" t="s">
        <v>20</v>
      </c>
      <c r="F65" s="7">
        <v>1300000</v>
      </c>
      <c r="G65" s="6">
        <v>1</v>
      </c>
      <c r="H65" s="7">
        <f t="shared" si="1"/>
        <v>100000</v>
      </c>
      <c r="I65" s="7">
        <f t="shared" si="2"/>
        <v>13000</v>
      </c>
      <c r="J65" s="8">
        <f t="shared" si="3"/>
        <v>1413000</v>
      </c>
    </row>
    <row r="66" spans="2:10" ht="17.100000000000001" customHeight="1" x14ac:dyDescent="0.3">
      <c r="B66" s="6" t="s">
        <v>85</v>
      </c>
      <c r="C66" s="6" t="s">
        <v>11</v>
      </c>
      <c r="D66" s="6" t="str">
        <f t="shared" si="0"/>
        <v>경리부</v>
      </c>
      <c r="E66" s="6" t="s">
        <v>12</v>
      </c>
      <c r="F66" s="7">
        <v>1500000</v>
      </c>
      <c r="G66" s="6">
        <v>6</v>
      </c>
      <c r="H66" s="7">
        <f t="shared" si="1"/>
        <v>200000</v>
      </c>
      <c r="I66" s="7">
        <f t="shared" si="2"/>
        <v>90000</v>
      </c>
      <c r="J66" s="8">
        <f t="shared" si="3"/>
        <v>1790000</v>
      </c>
    </row>
    <row r="67" spans="2:10" ht="17.100000000000001" customHeight="1" x14ac:dyDescent="0.3">
      <c r="B67" s="3" t="s">
        <v>86</v>
      </c>
      <c r="C67" s="6" t="s">
        <v>14</v>
      </c>
      <c r="D67" s="6" t="str">
        <f t="shared" si="0"/>
        <v>연구부</v>
      </c>
      <c r="E67" s="6" t="s">
        <v>15</v>
      </c>
      <c r="F67" s="7">
        <v>1400000</v>
      </c>
      <c r="G67" s="6">
        <v>5</v>
      </c>
      <c r="H67" s="7">
        <f t="shared" si="1"/>
        <v>150000</v>
      </c>
      <c r="I67" s="7">
        <f t="shared" si="2"/>
        <v>70000</v>
      </c>
      <c r="J67" s="8">
        <f t="shared" si="3"/>
        <v>1620000</v>
      </c>
    </row>
    <row r="68" spans="2:10" ht="17.100000000000001" customHeight="1" x14ac:dyDescent="0.3">
      <c r="B68" s="6" t="s">
        <v>87</v>
      </c>
      <c r="C68" s="6" t="s">
        <v>17</v>
      </c>
      <c r="D68" s="6" t="str">
        <f t="shared" ref="D68:D112" si="4">IF(LEFT(B68,1)="A","연구부",IF(LEFT(B68,1)="B","관리부","경리부"))</f>
        <v>관리부</v>
      </c>
      <c r="E68" s="6" t="s">
        <v>15</v>
      </c>
      <c r="F68" s="7">
        <v>1400000</v>
      </c>
      <c r="G68" s="6">
        <v>5</v>
      </c>
      <c r="H68" s="7">
        <f t="shared" ref="H68:H112" si="5">IF(E68="부장",200000,IF(E68="과장",150000,IF(E68="대리",100000,50000)))</f>
        <v>150000</v>
      </c>
      <c r="I68" s="7">
        <f t="shared" ref="I68:I112" si="6">F68*G68*0.01</f>
        <v>70000</v>
      </c>
      <c r="J68" s="8">
        <f t="shared" ref="J68:J112" si="7">F68+I68+H68</f>
        <v>1620000</v>
      </c>
    </row>
    <row r="69" spans="2:10" ht="17.100000000000001" customHeight="1" x14ac:dyDescent="0.3">
      <c r="B69" s="6" t="s">
        <v>88</v>
      </c>
      <c r="C69" s="6" t="s">
        <v>19</v>
      </c>
      <c r="D69" s="6" t="str">
        <f t="shared" si="4"/>
        <v>경리부</v>
      </c>
      <c r="E69" s="6" t="s">
        <v>20</v>
      </c>
      <c r="F69" s="7">
        <v>1300000</v>
      </c>
      <c r="G69" s="6">
        <v>4</v>
      </c>
      <c r="H69" s="7">
        <f t="shared" si="5"/>
        <v>100000</v>
      </c>
      <c r="I69" s="7">
        <f t="shared" si="6"/>
        <v>52000</v>
      </c>
      <c r="J69" s="8">
        <f t="shared" si="7"/>
        <v>1452000</v>
      </c>
    </row>
    <row r="70" spans="2:10" ht="17.100000000000001" customHeight="1" x14ac:dyDescent="0.3">
      <c r="B70" s="3" t="s">
        <v>89</v>
      </c>
      <c r="C70" s="6" t="s">
        <v>22</v>
      </c>
      <c r="D70" s="6" t="str">
        <f t="shared" si="4"/>
        <v>연구부</v>
      </c>
      <c r="E70" s="6" t="s">
        <v>20</v>
      </c>
      <c r="F70" s="7">
        <v>1300000</v>
      </c>
      <c r="G70" s="6">
        <v>5</v>
      </c>
      <c r="H70" s="7">
        <f t="shared" si="5"/>
        <v>100000</v>
      </c>
      <c r="I70" s="7">
        <f t="shared" si="6"/>
        <v>65000</v>
      </c>
      <c r="J70" s="8">
        <f t="shared" si="7"/>
        <v>1465000</v>
      </c>
    </row>
    <row r="71" spans="2:10" ht="17.100000000000001" customHeight="1" x14ac:dyDescent="0.3">
      <c r="B71" s="6" t="s">
        <v>90</v>
      </c>
      <c r="C71" s="6" t="s">
        <v>11</v>
      </c>
      <c r="D71" s="6" t="str">
        <f t="shared" si="4"/>
        <v>관리부</v>
      </c>
      <c r="E71" s="6" t="s">
        <v>12</v>
      </c>
      <c r="F71" s="7">
        <v>1305555.5555555599</v>
      </c>
      <c r="G71" s="6">
        <v>7</v>
      </c>
      <c r="H71" s="7">
        <f t="shared" si="5"/>
        <v>200000</v>
      </c>
      <c r="I71" s="7">
        <f t="shared" si="6"/>
        <v>91388.888888889196</v>
      </c>
      <c r="J71" s="8">
        <f t="shared" si="7"/>
        <v>1596944.4444444492</v>
      </c>
    </row>
    <row r="72" spans="2:10" ht="17.100000000000001" customHeight="1" x14ac:dyDescent="0.3">
      <c r="B72" s="6" t="s">
        <v>91</v>
      </c>
      <c r="C72" s="6" t="s">
        <v>14</v>
      </c>
      <c r="D72" s="6" t="str">
        <f t="shared" si="4"/>
        <v>경리부</v>
      </c>
      <c r="E72" s="6" t="s">
        <v>15</v>
      </c>
      <c r="F72" s="7">
        <v>1288888.8888888899</v>
      </c>
      <c r="G72" s="6">
        <v>2</v>
      </c>
      <c r="H72" s="7">
        <f t="shared" si="5"/>
        <v>150000</v>
      </c>
      <c r="I72" s="7">
        <f t="shared" si="6"/>
        <v>25777.777777777799</v>
      </c>
      <c r="J72" s="8">
        <f t="shared" si="7"/>
        <v>1464666.6666666677</v>
      </c>
    </row>
    <row r="73" spans="2:10" ht="17.100000000000001" customHeight="1" x14ac:dyDescent="0.3">
      <c r="B73" s="3" t="s">
        <v>92</v>
      </c>
      <c r="C73" s="6" t="s">
        <v>17</v>
      </c>
      <c r="D73" s="6" t="str">
        <f t="shared" si="4"/>
        <v>연구부</v>
      </c>
      <c r="E73" s="6" t="s">
        <v>15</v>
      </c>
      <c r="F73" s="7">
        <v>1272222.2222222199</v>
      </c>
      <c r="G73" s="6">
        <v>3</v>
      </c>
      <c r="H73" s="7">
        <f t="shared" si="5"/>
        <v>150000</v>
      </c>
      <c r="I73" s="7">
        <f t="shared" si="6"/>
        <v>38166.666666666599</v>
      </c>
      <c r="J73" s="8">
        <f t="shared" si="7"/>
        <v>1460388.8888888864</v>
      </c>
    </row>
    <row r="74" spans="2:10" ht="17.100000000000001" customHeight="1" x14ac:dyDescent="0.3">
      <c r="B74" s="6" t="s">
        <v>93</v>
      </c>
      <c r="C74" s="6" t="s">
        <v>19</v>
      </c>
      <c r="D74" s="6" t="str">
        <f t="shared" si="4"/>
        <v>관리부</v>
      </c>
      <c r="E74" s="6" t="s">
        <v>20</v>
      </c>
      <c r="F74" s="7">
        <v>1255555.5555555599</v>
      </c>
      <c r="G74" s="6">
        <v>1</v>
      </c>
      <c r="H74" s="7">
        <f t="shared" si="5"/>
        <v>100000</v>
      </c>
      <c r="I74" s="7">
        <f t="shared" si="6"/>
        <v>12555.5555555556</v>
      </c>
      <c r="J74" s="8">
        <f t="shared" si="7"/>
        <v>1368111.1111111154</v>
      </c>
    </row>
    <row r="75" spans="2:10" ht="17.100000000000001" customHeight="1" x14ac:dyDescent="0.3">
      <c r="B75" s="6" t="s">
        <v>94</v>
      </c>
      <c r="C75" s="6" t="s">
        <v>11</v>
      </c>
      <c r="D75" s="6" t="str">
        <f t="shared" si="4"/>
        <v>경리부</v>
      </c>
      <c r="E75" s="6" t="s">
        <v>12</v>
      </c>
      <c r="F75" s="7">
        <v>1238888.8888888899</v>
      </c>
      <c r="G75" s="6">
        <v>6</v>
      </c>
      <c r="H75" s="7">
        <f t="shared" si="5"/>
        <v>200000</v>
      </c>
      <c r="I75" s="7">
        <f t="shared" si="6"/>
        <v>74333.333333333401</v>
      </c>
      <c r="J75" s="8">
        <f t="shared" si="7"/>
        <v>1513222.2222222234</v>
      </c>
    </row>
    <row r="76" spans="2:10" ht="17.100000000000001" customHeight="1" x14ac:dyDescent="0.3">
      <c r="B76" s="3" t="s">
        <v>95</v>
      </c>
      <c r="C76" s="6" t="s">
        <v>14</v>
      </c>
      <c r="D76" s="6" t="str">
        <f t="shared" si="4"/>
        <v>연구부</v>
      </c>
      <c r="E76" s="6" t="s">
        <v>15</v>
      </c>
      <c r="F76" s="7">
        <v>1222222.2222222199</v>
      </c>
      <c r="G76" s="6">
        <v>5</v>
      </c>
      <c r="H76" s="7">
        <f t="shared" si="5"/>
        <v>150000</v>
      </c>
      <c r="I76" s="7">
        <f t="shared" si="6"/>
        <v>61111.111111111</v>
      </c>
      <c r="J76" s="8">
        <f t="shared" si="7"/>
        <v>1433333.3333333309</v>
      </c>
    </row>
    <row r="77" spans="2:10" ht="17.100000000000001" customHeight="1" x14ac:dyDescent="0.3">
      <c r="B77" s="6" t="s">
        <v>96</v>
      </c>
      <c r="C77" s="6" t="s">
        <v>17</v>
      </c>
      <c r="D77" s="6" t="str">
        <f t="shared" si="4"/>
        <v>관리부</v>
      </c>
      <c r="E77" s="6" t="s">
        <v>15</v>
      </c>
      <c r="F77" s="7">
        <v>1205555.5555555599</v>
      </c>
      <c r="G77" s="6">
        <v>5</v>
      </c>
      <c r="H77" s="7">
        <f t="shared" si="5"/>
        <v>150000</v>
      </c>
      <c r="I77" s="7">
        <f t="shared" si="6"/>
        <v>60277.777777777992</v>
      </c>
      <c r="J77" s="8">
        <f t="shared" si="7"/>
        <v>1415833.3333333379</v>
      </c>
    </row>
    <row r="78" spans="2:10" ht="17.100000000000001" customHeight="1" x14ac:dyDescent="0.3">
      <c r="B78" s="6" t="s">
        <v>97</v>
      </c>
      <c r="C78" s="6" t="s">
        <v>19</v>
      </c>
      <c r="D78" s="6" t="str">
        <f t="shared" si="4"/>
        <v>경리부</v>
      </c>
      <c r="E78" s="6" t="s">
        <v>20</v>
      </c>
      <c r="F78" s="7">
        <v>1188888.8888888899</v>
      </c>
      <c r="G78" s="6">
        <v>6</v>
      </c>
      <c r="H78" s="7">
        <f t="shared" si="5"/>
        <v>100000</v>
      </c>
      <c r="I78" s="7">
        <f t="shared" si="6"/>
        <v>71333.333333333401</v>
      </c>
      <c r="J78" s="8">
        <f t="shared" si="7"/>
        <v>1360222.2222222234</v>
      </c>
    </row>
    <row r="79" spans="2:10" ht="17.100000000000001" customHeight="1" x14ac:dyDescent="0.3">
      <c r="B79" s="3" t="s">
        <v>98</v>
      </c>
      <c r="C79" s="6" t="s">
        <v>22</v>
      </c>
      <c r="D79" s="6" t="str">
        <f t="shared" si="4"/>
        <v>연구부</v>
      </c>
      <c r="E79" s="6" t="s">
        <v>20</v>
      </c>
      <c r="F79" s="7">
        <v>1172222.2222222199</v>
      </c>
      <c r="G79" s="6">
        <v>5</v>
      </c>
      <c r="H79" s="7">
        <f t="shared" si="5"/>
        <v>100000</v>
      </c>
      <c r="I79" s="7">
        <f t="shared" si="6"/>
        <v>58611.111111111</v>
      </c>
      <c r="J79" s="8">
        <f t="shared" si="7"/>
        <v>1330833.3333333309</v>
      </c>
    </row>
    <row r="80" spans="2:10" ht="17.100000000000001" customHeight="1" x14ac:dyDescent="0.3">
      <c r="B80" s="6" t="s">
        <v>99</v>
      </c>
      <c r="C80" s="6" t="s">
        <v>11</v>
      </c>
      <c r="D80" s="6" t="str">
        <f t="shared" si="4"/>
        <v>관리부</v>
      </c>
      <c r="E80" s="6" t="s">
        <v>12</v>
      </c>
      <c r="F80" s="7">
        <v>1155555.5555555599</v>
      </c>
      <c r="G80" s="6">
        <v>5</v>
      </c>
      <c r="H80" s="7">
        <f t="shared" si="5"/>
        <v>200000</v>
      </c>
      <c r="I80" s="7">
        <f t="shared" si="6"/>
        <v>57777.777777777992</v>
      </c>
      <c r="J80" s="8">
        <f t="shared" si="7"/>
        <v>1413333.3333333379</v>
      </c>
    </row>
    <row r="81" spans="2:10" ht="17.100000000000001" customHeight="1" x14ac:dyDescent="0.3">
      <c r="B81" s="6" t="s">
        <v>100</v>
      </c>
      <c r="C81" s="6" t="s">
        <v>14</v>
      </c>
      <c r="D81" s="6" t="str">
        <f t="shared" si="4"/>
        <v>경리부</v>
      </c>
      <c r="E81" s="6" t="s">
        <v>15</v>
      </c>
      <c r="F81" s="7">
        <v>1138888.8888888899</v>
      </c>
      <c r="G81" s="6">
        <v>4</v>
      </c>
      <c r="H81" s="7">
        <f t="shared" si="5"/>
        <v>150000</v>
      </c>
      <c r="I81" s="7">
        <f t="shared" si="6"/>
        <v>45555.555555555598</v>
      </c>
      <c r="J81" s="8">
        <f t="shared" si="7"/>
        <v>1334444.4444444454</v>
      </c>
    </row>
    <row r="82" spans="2:10" ht="17.100000000000001" customHeight="1" x14ac:dyDescent="0.3">
      <c r="B82" s="3" t="s">
        <v>101</v>
      </c>
      <c r="C82" s="6" t="s">
        <v>17</v>
      </c>
      <c r="D82" s="6" t="str">
        <f t="shared" si="4"/>
        <v>연구부</v>
      </c>
      <c r="E82" s="6" t="s">
        <v>15</v>
      </c>
      <c r="F82" s="7">
        <v>1122222.2222222199</v>
      </c>
      <c r="G82" s="6">
        <v>5</v>
      </c>
      <c r="H82" s="7">
        <f t="shared" si="5"/>
        <v>150000</v>
      </c>
      <c r="I82" s="7">
        <f t="shared" si="6"/>
        <v>56111.111111111</v>
      </c>
      <c r="J82" s="8">
        <f t="shared" si="7"/>
        <v>1328333.3333333309</v>
      </c>
    </row>
    <row r="83" spans="2:10" ht="17.100000000000001" customHeight="1" x14ac:dyDescent="0.3">
      <c r="B83" s="6" t="s">
        <v>102</v>
      </c>
      <c r="C83" s="6" t="s">
        <v>19</v>
      </c>
      <c r="D83" s="6" t="str">
        <f t="shared" si="4"/>
        <v>관리부</v>
      </c>
      <c r="E83" s="6" t="s">
        <v>20</v>
      </c>
      <c r="F83" s="7">
        <v>1105555.5555555599</v>
      </c>
      <c r="G83" s="6">
        <v>7</v>
      </c>
      <c r="H83" s="7">
        <f t="shared" si="5"/>
        <v>100000</v>
      </c>
      <c r="I83" s="7">
        <f t="shared" si="6"/>
        <v>77388.888888889196</v>
      </c>
      <c r="J83" s="8">
        <f t="shared" si="7"/>
        <v>1282944.4444444492</v>
      </c>
    </row>
    <row r="84" spans="2:10" ht="17.100000000000001" customHeight="1" x14ac:dyDescent="0.3">
      <c r="B84" s="6" t="s">
        <v>103</v>
      </c>
      <c r="C84" s="6" t="s">
        <v>11</v>
      </c>
      <c r="D84" s="6" t="str">
        <f t="shared" si="4"/>
        <v>경리부</v>
      </c>
      <c r="E84" s="6" t="s">
        <v>12</v>
      </c>
      <c r="F84" s="7">
        <v>1088888.8888888899</v>
      </c>
      <c r="G84" s="6">
        <v>2</v>
      </c>
      <c r="H84" s="7">
        <f t="shared" si="5"/>
        <v>200000</v>
      </c>
      <c r="I84" s="7">
        <f t="shared" si="6"/>
        <v>21777.777777777799</v>
      </c>
      <c r="J84" s="8">
        <f t="shared" si="7"/>
        <v>1310666.6666666677</v>
      </c>
    </row>
    <row r="85" spans="2:10" ht="17.100000000000001" customHeight="1" x14ac:dyDescent="0.3">
      <c r="B85" s="3" t="s">
        <v>104</v>
      </c>
      <c r="C85" s="6" t="s">
        <v>14</v>
      </c>
      <c r="D85" s="6" t="str">
        <f t="shared" si="4"/>
        <v>연구부</v>
      </c>
      <c r="E85" s="6" t="s">
        <v>15</v>
      </c>
      <c r="F85" s="7">
        <v>1072222.2222222199</v>
      </c>
      <c r="G85" s="6">
        <v>3</v>
      </c>
      <c r="H85" s="7">
        <f t="shared" si="5"/>
        <v>150000</v>
      </c>
      <c r="I85" s="7">
        <f t="shared" si="6"/>
        <v>32166.666666666595</v>
      </c>
      <c r="J85" s="8">
        <f t="shared" si="7"/>
        <v>1254388.8888888864</v>
      </c>
    </row>
    <row r="86" spans="2:10" ht="17.100000000000001" customHeight="1" x14ac:dyDescent="0.3">
      <c r="B86" s="6" t="s">
        <v>105</v>
      </c>
      <c r="C86" s="6" t="s">
        <v>17</v>
      </c>
      <c r="D86" s="6" t="str">
        <f t="shared" si="4"/>
        <v>관리부</v>
      </c>
      <c r="E86" s="6" t="s">
        <v>15</v>
      </c>
      <c r="F86" s="7">
        <v>1055555.5555555599</v>
      </c>
      <c r="G86" s="6">
        <v>1</v>
      </c>
      <c r="H86" s="7">
        <f t="shared" si="5"/>
        <v>150000</v>
      </c>
      <c r="I86" s="7">
        <f t="shared" si="6"/>
        <v>10555.5555555556</v>
      </c>
      <c r="J86" s="8">
        <f t="shared" si="7"/>
        <v>1216111.1111111154</v>
      </c>
    </row>
    <row r="87" spans="2:10" ht="17.100000000000001" customHeight="1" x14ac:dyDescent="0.3">
      <c r="B87" s="6" t="s">
        <v>106</v>
      </c>
      <c r="C87" s="6" t="s">
        <v>19</v>
      </c>
      <c r="D87" s="6" t="str">
        <f t="shared" si="4"/>
        <v>경리부</v>
      </c>
      <c r="E87" s="6" t="s">
        <v>20</v>
      </c>
      <c r="F87" s="7">
        <v>1038888.88888889</v>
      </c>
      <c r="G87" s="6">
        <v>6</v>
      </c>
      <c r="H87" s="7">
        <f t="shared" si="5"/>
        <v>100000</v>
      </c>
      <c r="I87" s="7">
        <f t="shared" si="6"/>
        <v>62333.333333333409</v>
      </c>
      <c r="J87" s="8">
        <f t="shared" si="7"/>
        <v>1201222.2222222234</v>
      </c>
    </row>
    <row r="88" spans="2:10" ht="17.100000000000001" customHeight="1" x14ac:dyDescent="0.3">
      <c r="B88" s="3" t="s">
        <v>107</v>
      </c>
      <c r="C88" s="6" t="s">
        <v>22</v>
      </c>
      <c r="D88" s="6" t="str">
        <f t="shared" si="4"/>
        <v>연구부</v>
      </c>
      <c r="E88" s="6" t="s">
        <v>20</v>
      </c>
      <c r="F88" s="7">
        <v>1022222.22222222</v>
      </c>
      <c r="G88" s="6">
        <v>5</v>
      </c>
      <c r="H88" s="7">
        <f t="shared" si="5"/>
        <v>100000</v>
      </c>
      <c r="I88" s="7">
        <f t="shared" si="6"/>
        <v>51111.111111111</v>
      </c>
      <c r="J88" s="8">
        <f t="shared" si="7"/>
        <v>1173333.3333333309</v>
      </c>
    </row>
    <row r="89" spans="2:10" ht="17.100000000000001" customHeight="1" x14ac:dyDescent="0.3">
      <c r="B89" s="6" t="s">
        <v>108</v>
      </c>
      <c r="C89" s="6" t="s">
        <v>11</v>
      </c>
      <c r="D89" s="6" t="str">
        <f t="shared" si="4"/>
        <v>관리부</v>
      </c>
      <c r="E89" s="6" t="s">
        <v>12</v>
      </c>
      <c r="F89" s="7">
        <v>1005555.55555556</v>
      </c>
      <c r="G89" s="6">
        <v>5</v>
      </c>
      <c r="H89" s="7">
        <f t="shared" si="5"/>
        <v>200000</v>
      </c>
      <c r="I89" s="7">
        <f t="shared" si="6"/>
        <v>50277.777777778007</v>
      </c>
      <c r="J89" s="8">
        <f t="shared" si="7"/>
        <v>1255833.3333333381</v>
      </c>
    </row>
    <row r="90" spans="2:10" ht="17.100000000000001" customHeight="1" x14ac:dyDescent="0.3">
      <c r="B90" s="6" t="s">
        <v>109</v>
      </c>
      <c r="C90" s="6" t="s">
        <v>14</v>
      </c>
      <c r="D90" s="6" t="str">
        <f t="shared" si="4"/>
        <v>경리부</v>
      </c>
      <c r="E90" s="6" t="s">
        <v>15</v>
      </c>
      <c r="F90" s="7">
        <v>988888.88888888899</v>
      </c>
      <c r="G90" s="6">
        <v>4</v>
      </c>
      <c r="H90" s="7">
        <f t="shared" si="5"/>
        <v>150000</v>
      </c>
      <c r="I90" s="7">
        <f t="shared" si="6"/>
        <v>39555.555555555562</v>
      </c>
      <c r="J90" s="8">
        <f t="shared" si="7"/>
        <v>1178444.4444444445</v>
      </c>
    </row>
    <row r="91" spans="2:10" ht="17.100000000000001" customHeight="1" x14ac:dyDescent="0.3">
      <c r="B91" s="3" t="s">
        <v>110</v>
      </c>
      <c r="C91" s="6" t="s">
        <v>17</v>
      </c>
      <c r="D91" s="6" t="str">
        <f t="shared" si="4"/>
        <v>연구부</v>
      </c>
      <c r="E91" s="6" t="s">
        <v>15</v>
      </c>
      <c r="F91" s="7">
        <v>972222.22222222202</v>
      </c>
      <c r="G91" s="6">
        <v>5</v>
      </c>
      <c r="H91" s="7">
        <f t="shared" si="5"/>
        <v>150000</v>
      </c>
      <c r="I91" s="7">
        <f t="shared" si="6"/>
        <v>48611.111111111102</v>
      </c>
      <c r="J91" s="8">
        <f t="shared" si="7"/>
        <v>1170833.333333333</v>
      </c>
    </row>
    <row r="92" spans="2:10" ht="17.100000000000001" customHeight="1" x14ac:dyDescent="0.3">
      <c r="B92" s="6" t="s">
        <v>111</v>
      </c>
      <c r="C92" s="6" t="s">
        <v>19</v>
      </c>
      <c r="D92" s="6" t="str">
        <f t="shared" si="4"/>
        <v>관리부</v>
      </c>
      <c r="E92" s="6" t="s">
        <v>20</v>
      </c>
      <c r="F92" s="7">
        <v>955555.55555555597</v>
      </c>
      <c r="G92" s="6">
        <v>7</v>
      </c>
      <c r="H92" s="7">
        <f t="shared" si="5"/>
        <v>100000</v>
      </c>
      <c r="I92" s="7">
        <f t="shared" si="6"/>
        <v>66888.88888888892</v>
      </c>
      <c r="J92" s="8">
        <f t="shared" si="7"/>
        <v>1122444.444444445</v>
      </c>
    </row>
    <row r="93" spans="2:10" ht="17.100000000000001" customHeight="1" x14ac:dyDescent="0.3">
      <c r="B93" s="6" t="s">
        <v>112</v>
      </c>
      <c r="C93" s="6" t="s">
        <v>11</v>
      </c>
      <c r="D93" s="6" t="str">
        <f t="shared" si="4"/>
        <v>경리부</v>
      </c>
      <c r="E93" s="6" t="s">
        <v>12</v>
      </c>
      <c r="F93" s="7">
        <v>938888.88888888899</v>
      </c>
      <c r="G93" s="6">
        <v>2</v>
      </c>
      <c r="H93" s="7">
        <f t="shared" si="5"/>
        <v>200000</v>
      </c>
      <c r="I93" s="7">
        <f t="shared" si="6"/>
        <v>18777.777777777781</v>
      </c>
      <c r="J93" s="8">
        <f t="shared" si="7"/>
        <v>1157666.6666666667</v>
      </c>
    </row>
    <row r="94" spans="2:10" ht="17.100000000000001" customHeight="1" x14ac:dyDescent="0.3">
      <c r="B94" s="3" t="s">
        <v>113</v>
      </c>
      <c r="C94" s="6" t="s">
        <v>14</v>
      </c>
      <c r="D94" s="6" t="str">
        <f t="shared" si="4"/>
        <v>연구부</v>
      </c>
      <c r="E94" s="6" t="s">
        <v>15</v>
      </c>
      <c r="F94" s="7">
        <v>922222.22222222202</v>
      </c>
      <c r="G94" s="6">
        <v>3</v>
      </c>
      <c r="H94" s="7">
        <f t="shared" si="5"/>
        <v>150000</v>
      </c>
      <c r="I94" s="7">
        <f t="shared" si="6"/>
        <v>27666.666666666661</v>
      </c>
      <c r="J94" s="8">
        <f t="shared" si="7"/>
        <v>1099888.8888888885</v>
      </c>
    </row>
    <row r="95" spans="2:10" ht="17.100000000000001" customHeight="1" x14ac:dyDescent="0.3">
      <c r="B95" s="6" t="s">
        <v>114</v>
      </c>
      <c r="C95" s="6" t="s">
        <v>17</v>
      </c>
      <c r="D95" s="6" t="str">
        <f t="shared" si="4"/>
        <v>관리부</v>
      </c>
      <c r="E95" s="6" t="s">
        <v>15</v>
      </c>
      <c r="F95" s="7">
        <v>905555.55555555597</v>
      </c>
      <c r="G95" s="6">
        <v>1</v>
      </c>
      <c r="H95" s="7">
        <f t="shared" si="5"/>
        <v>150000</v>
      </c>
      <c r="I95" s="7">
        <f t="shared" si="6"/>
        <v>9055.5555555555602</v>
      </c>
      <c r="J95" s="8">
        <f t="shared" si="7"/>
        <v>1064611.1111111115</v>
      </c>
    </row>
    <row r="96" spans="2:10" ht="17.100000000000001" customHeight="1" x14ac:dyDescent="0.3">
      <c r="B96" s="6" t="s">
        <v>115</v>
      </c>
      <c r="C96" s="6" t="s">
        <v>19</v>
      </c>
      <c r="D96" s="6" t="str">
        <f t="shared" si="4"/>
        <v>경리부</v>
      </c>
      <c r="E96" s="6" t="s">
        <v>20</v>
      </c>
      <c r="F96" s="7">
        <v>888888.88888888899</v>
      </c>
      <c r="G96" s="6">
        <v>6</v>
      </c>
      <c r="H96" s="7">
        <f t="shared" si="5"/>
        <v>100000</v>
      </c>
      <c r="I96" s="7">
        <f t="shared" si="6"/>
        <v>53333.333333333343</v>
      </c>
      <c r="J96" s="8">
        <f t="shared" si="7"/>
        <v>1042222.2222222224</v>
      </c>
    </row>
    <row r="97" spans="2:10" ht="17.100000000000001" customHeight="1" x14ac:dyDescent="0.3">
      <c r="B97" s="3" t="s">
        <v>116</v>
      </c>
      <c r="C97" s="6" t="s">
        <v>22</v>
      </c>
      <c r="D97" s="6" t="str">
        <f t="shared" si="4"/>
        <v>연구부</v>
      </c>
      <c r="E97" s="6" t="s">
        <v>20</v>
      </c>
      <c r="F97" s="7">
        <v>872222.22222222202</v>
      </c>
      <c r="G97" s="6">
        <v>5</v>
      </c>
      <c r="H97" s="7">
        <f t="shared" si="5"/>
        <v>100000</v>
      </c>
      <c r="I97" s="7">
        <f t="shared" si="6"/>
        <v>43611.111111111102</v>
      </c>
      <c r="J97" s="8">
        <f t="shared" si="7"/>
        <v>1015833.3333333331</v>
      </c>
    </row>
    <row r="98" spans="2:10" ht="17.100000000000001" customHeight="1" x14ac:dyDescent="0.3">
      <c r="B98" s="6" t="s">
        <v>117</v>
      </c>
      <c r="C98" s="6" t="s">
        <v>11</v>
      </c>
      <c r="D98" s="6" t="str">
        <f t="shared" si="4"/>
        <v>관리부</v>
      </c>
      <c r="E98" s="6" t="s">
        <v>12</v>
      </c>
      <c r="F98" s="7">
        <v>855555.55555555597</v>
      </c>
      <c r="G98" s="6">
        <v>5</v>
      </c>
      <c r="H98" s="7">
        <f t="shared" si="5"/>
        <v>200000</v>
      </c>
      <c r="I98" s="7">
        <f t="shared" si="6"/>
        <v>42777.777777777803</v>
      </c>
      <c r="J98" s="8">
        <f t="shared" si="7"/>
        <v>1098333.3333333337</v>
      </c>
    </row>
    <row r="99" spans="2:10" ht="17.100000000000001" customHeight="1" x14ac:dyDescent="0.3">
      <c r="B99" s="6" t="s">
        <v>118</v>
      </c>
      <c r="C99" s="6" t="s">
        <v>14</v>
      </c>
      <c r="D99" s="6" t="str">
        <f t="shared" si="4"/>
        <v>경리부</v>
      </c>
      <c r="E99" s="6" t="s">
        <v>15</v>
      </c>
      <c r="F99" s="7">
        <v>838888.88888888899</v>
      </c>
      <c r="G99" s="6">
        <v>4</v>
      </c>
      <c r="H99" s="7">
        <f t="shared" si="5"/>
        <v>150000</v>
      </c>
      <c r="I99" s="7">
        <f t="shared" si="6"/>
        <v>33555.555555555562</v>
      </c>
      <c r="J99" s="8">
        <f t="shared" si="7"/>
        <v>1022444.4444444445</v>
      </c>
    </row>
    <row r="100" spans="2:10" ht="17.100000000000001" customHeight="1" x14ac:dyDescent="0.3">
      <c r="B100" s="3" t="s">
        <v>119</v>
      </c>
      <c r="C100" s="6" t="s">
        <v>17</v>
      </c>
      <c r="D100" s="6" t="str">
        <f t="shared" si="4"/>
        <v>연구부</v>
      </c>
      <c r="E100" s="6" t="s">
        <v>15</v>
      </c>
      <c r="F100" s="7">
        <v>822222.22222222202</v>
      </c>
      <c r="G100" s="6">
        <v>6</v>
      </c>
      <c r="H100" s="7">
        <f t="shared" si="5"/>
        <v>150000</v>
      </c>
      <c r="I100" s="7">
        <f t="shared" si="6"/>
        <v>49333.333333333321</v>
      </c>
      <c r="J100" s="8">
        <f t="shared" si="7"/>
        <v>1021555.5555555554</v>
      </c>
    </row>
    <row r="101" spans="2:10" ht="17.100000000000001" customHeight="1" x14ac:dyDescent="0.3">
      <c r="B101" s="6" t="s">
        <v>120</v>
      </c>
      <c r="C101" s="6" t="s">
        <v>19</v>
      </c>
      <c r="D101" s="6" t="str">
        <f t="shared" si="4"/>
        <v>관리부</v>
      </c>
      <c r="E101" s="6" t="s">
        <v>20</v>
      </c>
      <c r="F101" s="7">
        <v>805555.55555555597</v>
      </c>
      <c r="G101" s="6">
        <v>5</v>
      </c>
      <c r="H101" s="7">
        <f t="shared" si="5"/>
        <v>100000</v>
      </c>
      <c r="I101" s="7">
        <f t="shared" si="6"/>
        <v>40277.777777777803</v>
      </c>
      <c r="J101" s="8">
        <f t="shared" si="7"/>
        <v>945833.33333333372</v>
      </c>
    </row>
    <row r="102" spans="2:10" ht="17.100000000000001" customHeight="1" x14ac:dyDescent="0.3">
      <c r="B102" s="6" t="s">
        <v>121</v>
      </c>
      <c r="C102" s="6" t="s">
        <v>11</v>
      </c>
      <c r="D102" s="6" t="str">
        <f t="shared" si="4"/>
        <v>경리부</v>
      </c>
      <c r="E102" s="6" t="s">
        <v>12</v>
      </c>
      <c r="F102" s="7">
        <v>788888.88888888899</v>
      </c>
      <c r="G102" s="6">
        <v>5</v>
      </c>
      <c r="H102" s="7">
        <f t="shared" si="5"/>
        <v>200000</v>
      </c>
      <c r="I102" s="7">
        <f t="shared" si="6"/>
        <v>39444.444444444453</v>
      </c>
      <c r="J102" s="8">
        <f t="shared" si="7"/>
        <v>1028333.3333333335</v>
      </c>
    </row>
    <row r="103" spans="2:10" ht="17.100000000000001" customHeight="1" x14ac:dyDescent="0.3">
      <c r="B103" s="3" t="s">
        <v>122</v>
      </c>
      <c r="C103" s="6" t="s">
        <v>14</v>
      </c>
      <c r="D103" s="6" t="str">
        <f t="shared" si="4"/>
        <v>연구부</v>
      </c>
      <c r="E103" s="6" t="s">
        <v>15</v>
      </c>
      <c r="F103" s="7">
        <v>772222.22222222202</v>
      </c>
      <c r="G103" s="6">
        <v>4</v>
      </c>
      <c r="H103" s="7">
        <f t="shared" si="5"/>
        <v>150000</v>
      </c>
      <c r="I103" s="7">
        <f t="shared" si="6"/>
        <v>30888.88888888888</v>
      </c>
      <c r="J103" s="8">
        <f t="shared" si="7"/>
        <v>953111.11111111089</v>
      </c>
    </row>
    <row r="104" spans="2:10" ht="17.100000000000001" customHeight="1" x14ac:dyDescent="0.3">
      <c r="B104" s="6" t="s">
        <v>123</v>
      </c>
      <c r="C104" s="6" t="s">
        <v>17</v>
      </c>
      <c r="D104" s="6" t="str">
        <f t="shared" si="4"/>
        <v>관리부</v>
      </c>
      <c r="E104" s="6" t="s">
        <v>15</v>
      </c>
      <c r="F104" s="7">
        <v>755555.55555555597</v>
      </c>
      <c r="G104" s="6">
        <v>5</v>
      </c>
      <c r="H104" s="7">
        <f t="shared" si="5"/>
        <v>150000</v>
      </c>
      <c r="I104" s="7">
        <f t="shared" si="6"/>
        <v>37777.777777777803</v>
      </c>
      <c r="J104" s="8">
        <f t="shared" si="7"/>
        <v>943333.33333333372</v>
      </c>
    </row>
    <row r="105" spans="2:10" ht="17.100000000000001" customHeight="1" x14ac:dyDescent="0.3">
      <c r="B105" s="6" t="s">
        <v>124</v>
      </c>
      <c r="C105" s="6" t="s">
        <v>19</v>
      </c>
      <c r="D105" s="6" t="str">
        <f t="shared" si="4"/>
        <v>경리부</v>
      </c>
      <c r="E105" s="6" t="s">
        <v>20</v>
      </c>
      <c r="F105" s="7">
        <v>738888.88888888899</v>
      </c>
      <c r="G105" s="6">
        <v>7</v>
      </c>
      <c r="H105" s="7">
        <f t="shared" si="5"/>
        <v>100000</v>
      </c>
      <c r="I105" s="7">
        <f t="shared" si="6"/>
        <v>51722.222222222234</v>
      </c>
      <c r="J105" s="8">
        <f t="shared" si="7"/>
        <v>890611.11111111124</v>
      </c>
    </row>
    <row r="106" spans="2:10" ht="17.100000000000001" customHeight="1" x14ac:dyDescent="0.3">
      <c r="B106" s="3" t="s">
        <v>125</v>
      </c>
      <c r="C106" s="6" t="s">
        <v>22</v>
      </c>
      <c r="D106" s="6" t="str">
        <f t="shared" si="4"/>
        <v>연구부</v>
      </c>
      <c r="E106" s="6" t="s">
        <v>20</v>
      </c>
      <c r="F106" s="7">
        <v>722222.22222222202</v>
      </c>
      <c r="G106" s="6">
        <v>2</v>
      </c>
      <c r="H106" s="7">
        <f t="shared" si="5"/>
        <v>100000</v>
      </c>
      <c r="I106" s="7">
        <f t="shared" si="6"/>
        <v>14444.44444444444</v>
      </c>
      <c r="J106" s="8">
        <f t="shared" si="7"/>
        <v>836666.66666666651</v>
      </c>
    </row>
    <row r="107" spans="2:10" ht="17.100000000000001" customHeight="1" x14ac:dyDescent="0.3">
      <c r="B107" s="6" t="s">
        <v>126</v>
      </c>
      <c r="C107" s="6" t="s">
        <v>11</v>
      </c>
      <c r="D107" s="6" t="str">
        <f t="shared" si="4"/>
        <v>관리부</v>
      </c>
      <c r="E107" s="6" t="s">
        <v>12</v>
      </c>
      <c r="F107" s="7">
        <v>705555.55555555597</v>
      </c>
      <c r="G107" s="6">
        <v>3</v>
      </c>
      <c r="H107" s="7">
        <f t="shared" si="5"/>
        <v>200000</v>
      </c>
      <c r="I107" s="7">
        <f t="shared" si="6"/>
        <v>21166.666666666679</v>
      </c>
      <c r="J107" s="8">
        <f t="shared" si="7"/>
        <v>926722.2222222226</v>
      </c>
    </row>
    <row r="108" spans="2:10" ht="17.100000000000001" customHeight="1" x14ac:dyDescent="0.3">
      <c r="B108" s="6" t="s">
        <v>127</v>
      </c>
      <c r="C108" s="6" t="s">
        <v>14</v>
      </c>
      <c r="D108" s="6" t="str">
        <f t="shared" si="4"/>
        <v>경리부</v>
      </c>
      <c r="E108" s="6" t="s">
        <v>15</v>
      </c>
      <c r="F108" s="7">
        <v>688888.88888888899</v>
      </c>
      <c r="G108" s="6">
        <v>1</v>
      </c>
      <c r="H108" s="7">
        <f t="shared" si="5"/>
        <v>150000</v>
      </c>
      <c r="I108" s="7">
        <f t="shared" si="6"/>
        <v>6888.8888888888905</v>
      </c>
      <c r="J108" s="8">
        <f t="shared" si="7"/>
        <v>845777.77777777787</v>
      </c>
    </row>
    <row r="109" spans="2:10" ht="17.100000000000001" customHeight="1" x14ac:dyDescent="0.3">
      <c r="B109" s="3" t="s">
        <v>128</v>
      </c>
      <c r="C109" s="6" t="s">
        <v>17</v>
      </c>
      <c r="D109" s="6" t="str">
        <f t="shared" si="4"/>
        <v>연구부</v>
      </c>
      <c r="E109" s="6" t="s">
        <v>15</v>
      </c>
      <c r="F109" s="7">
        <v>672222.22222222202</v>
      </c>
      <c r="G109" s="6">
        <v>6</v>
      </c>
      <c r="H109" s="7">
        <f t="shared" si="5"/>
        <v>150000</v>
      </c>
      <c r="I109" s="7">
        <f t="shared" si="6"/>
        <v>40333.333333333321</v>
      </c>
      <c r="J109" s="8">
        <f t="shared" si="7"/>
        <v>862555.55555555539</v>
      </c>
    </row>
    <row r="110" spans="2:10" ht="17.100000000000001" customHeight="1" x14ac:dyDescent="0.3">
      <c r="B110" s="6" t="s">
        <v>129</v>
      </c>
      <c r="C110" s="6" t="s">
        <v>19</v>
      </c>
      <c r="D110" s="6" t="str">
        <f t="shared" si="4"/>
        <v>관리부</v>
      </c>
      <c r="E110" s="6" t="s">
        <v>20</v>
      </c>
      <c r="F110" s="7">
        <v>655555.55555555597</v>
      </c>
      <c r="G110" s="6">
        <v>5</v>
      </c>
      <c r="H110" s="7">
        <f t="shared" si="5"/>
        <v>100000</v>
      </c>
      <c r="I110" s="7">
        <f t="shared" si="6"/>
        <v>32777.777777777796</v>
      </c>
      <c r="J110" s="8">
        <f t="shared" si="7"/>
        <v>788333.33333333372</v>
      </c>
    </row>
    <row r="111" spans="2:10" ht="17.100000000000001" customHeight="1" x14ac:dyDescent="0.3">
      <c r="B111" s="6" t="s">
        <v>130</v>
      </c>
      <c r="C111" s="6" t="s">
        <v>11</v>
      </c>
      <c r="D111" s="6" t="str">
        <f t="shared" si="4"/>
        <v>경리부</v>
      </c>
      <c r="E111" s="6" t="s">
        <v>12</v>
      </c>
      <c r="F111" s="7">
        <v>638888.88888888899</v>
      </c>
      <c r="G111" s="6">
        <v>5</v>
      </c>
      <c r="H111" s="7">
        <f t="shared" si="5"/>
        <v>200000</v>
      </c>
      <c r="I111" s="7">
        <f t="shared" si="6"/>
        <v>31944.444444444449</v>
      </c>
      <c r="J111" s="8">
        <f t="shared" si="7"/>
        <v>870833.33333333349</v>
      </c>
    </row>
    <row r="112" spans="2:10" ht="17.100000000000001" customHeight="1" x14ac:dyDescent="0.3">
      <c r="B112" s="3" t="s">
        <v>131</v>
      </c>
      <c r="C112" s="6" t="s">
        <v>14</v>
      </c>
      <c r="D112" s="6" t="str">
        <f t="shared" si="4"/>
        <v>연구부</v>
      </c>
      <c r="E112" s="6" t="s">
        <v>15</v>
      </c>
      <c r="F112" s="7">
        <v>622222.22222222202</v>
      </c>
      <c r="G112" s="6">
        <v>4</v>
      </c>
      <c r="H112" s="7">
        <f t="shared" si="5"/>
        <v>150000</v>
      </c>
      <c r="I112" s="7">
        <f t="shared" si="6"/>
        <v>24888.88888888888</v>
      </c>
      <c r="J112" s="8">
        <f t="shared" si="7"/>
        <v>797111.11111111089</v>
      </c>
    </row>
    <row r="113" ht="17.100000000000001" customHeight="1" x14ac:dyDescent="0.3"/>
    <row r="114" ht="17.100000000000001" customHeight="1" x14ac:dyDescent="0.3"/>
    <row r="115" ht="17.100000000000001" customHeight="1" x14ac:dyDescent="0.3"/>
    <row r="116" ht="17.100000000000001" customHeight="1" x14ac:dyDescent="0.3"/>
    <row r="117" ht="17.100000000000001" customHeight="1" x14ac:dyDescent="0.3"/>
  </sheetData>
  <mergeCells count="1">
    <mergeCell ref="B1:J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백민 지</cp:lastModifiedBy>
  <dcterms:created xsi:type="dcterms:W3CDTF">2024-11-12T08:07:11Z</dcterms:created>
  <dcterms:modified xsi:type="dcterms:W3CDTF">2024-11-12T10:20:32Z</dcterms:modified>
</cp:coreProperties>
</file>